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7c3f0693a3437c" /></Relationships>
</file>

<file path=xl/workbook.xml><?xml version="1.0" encoding="utf-8"?>
<x:workbook xmlns:x="http://schemas.openxmlformats.org/spreadsheetml/2006/main">
  <x:sheets>
    <x:sheet xmlns:r="http://schemas.openxmlformats.org/officeDocument/2006/relationships" name="原始数据库" sheetId="1" r:id="R83bbf7a11bcc45f8"/>
    <x:sheet xmlns:r="http://schemas.openxmlformats.org/officeDocument/2006/relationships" name="主题画像" sheetId="2" r:id="Rd7bdfab4d6c24ffa"/>
    <x:sheet xmlns:r="http://schemas.openxmlformats.org/officeDocument/2006/relationships" name="小浣熊Prompt" sheetId="3" r:id="Ra0f225d7e2184dbf"/>
    <x:sheet xmlns:r="http://schemas.openxmlformats.org/officeDocument/2006/relationships" name="字段字典" sheetId="4" r:id="R10245d2286eb4e8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2">
    <x:font>
      <x:sz val="11"/>
      <x:name val="Carlito"/>
    </x:font>
    <x:font>
      <x:b/>
      <x:sz val="11"/>
      <x:color rgb="FFFFFFFF"/>
      <x:name val="Carlito"/>
    </x:font>
  </x:fonts>
  <x:fills count="7">
    <x:fill>
      <x:patternFill patternType="none"/>
    </x:fill>
    <x:fill>
      <x:patternFill patternType="gray125"/>
    </x:fill>
    <x:fill>
      <x:patternFill patternType="solid">
        <x:fgColor rgb="FF1F2937"/>
      </x:patternFill>
    </x:fill>
    <x:fill>
      <x:patternFill patternType="solid">
        <x:fgColor rgb="FF4F46E5"/>
      </x:patternFill>
    </x:fill>
    <x:fill>
      <x:patternFill patternType="solid">
        <x:fgColor rgb="FF111827"/>
      </x:patternFill>
    </x:fill>
    <x:fill>
      <x:patternFill patternType="solid">
        <x:fgColor rgb="FF0F766E"/>
      </x:patternFill>
    </x:fill>
    <x:fill>
      <x:patternFill patternType="solid">
        <x:fgColor rgb="FF7C2D12"/>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4"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1" fillId="4" borderId="1" xfId="0" applyNumberFormat="1" applyFont="1" applyFill="1" applyBorder="1" applyAlignment="1">
      <x:alignment horizontal="center"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5" borderId="1"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6" borderId="0" xfId="0" applyNumberFormat="1" applyFont="1" applyFill="1" applyBorder="1" applyAlignment="1">
      <x:alignment horizontal="center" wrapText="1"/>
    </x:xf>
  </x:cellXfs>
  <x:cellStyles count="1">
    <x:cellStyle name="Normal" xfId="0"/>
  </x:cellStyles>
  <x:dxfs count="1">
    <x:dxf>
      <x:font>
        <x:b/>
        <x:color rgb="FF312E81"/>
      </x:font>
      <x:fill>
        <x:patternFill patternType="solid">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1cb1233428446d" /><Relationship Type="http://schemas.openxmlformats.org/officeDocument/2006/relationships/theme" Target="/xl/theme/theme1.xml" Id="R88f03283cbfe484f" /><Relationship Type="http://schemas.openxmlformats.org/officeDocument/2006/relationships/sharedStrings" Target="/xl/sharedStrings.xml" Id="R72299c3e8c064f1c" /><Relationship Type="http://schemas.openxmlformats.org/officeDocument/2006/relationships/worksheet" Target="/xl/worksheets/sheet1.xml" Id="R83bbf7a11bcc45f8" /><Relationship Type="http://schemas.openxmlformats.org/officeDocument/2006/relationships/worksheet" Target="/xl/worksheets/sheet2.xml" Id="Rd7bdfab4d6c24ffa" /><Relationship Type="http://schemas.openxmlformats.org/officeDocument/2006/relationships/worksheet" Target="/xl/worksheets/sheet3.xml" Id="Ra0f225d7e2184dbf" /><Relationship Type="http://schemas.openxmlformats.org/officeDocument/2006/relationships/worksheet" Target="/xl/worksheets/sheet4.xml" Id="R10245d2286eb4e8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a027fc890b4e0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以墨 Ink 主题簇分布</a:t>
            </a:r>
          </a:p>
        </c:rich>
      </c:tx>
      <c:overlay val="0"/>
    </c:title>
    <c:autoTitleDeleted val="0"/>
    <c:plotArea>
      <c:layout/>
      <c:barChart>
        <c:barDir val="col"/>
        <c:varyColors val="0"/>
        <c:ser>
          <c:idx val="0"/>
          <c:order val="0"/>
          <c:tx>
            <c:v>条目数</c:v>
          </c:tx>
          <c:cat>
            <c:strRef>
              <c:f>'主题画像'!$A$10:$A$24</c:f>
              <c:strCache>
                <c:ptCount val="0"/>
              </c:strCache>
            </c:strRef>
          </c:cat>
          <c:val>
            <c:numRef>
              <c:f>'主题画像'!$B$10:$B$24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a027fc890b4e02"/>
        </a:graphicData>
      </a:graphic>
    </xdr:graphicFrame>
    <xdr:clientData/>
  </xdr:twoCellAnchor>
</xdr:wsDr>
</file>

<file path=xl/tables/table1.xml><?xml version="1.0" encoding="utf-8"?>
<x:table xmlns:x="http://schemas.openxmlformats.org/spreadsheetml/2006/main" id="1" name="YimoRawDatabase" displayName="YimoRawDatabase" ref="A1:S44" headerRowCount="1">
  <x:tableColumns count="19">
    <x:tableColumn id="1" name="id"/>
    <x:tableColumn id="2" name="素材标题"/>
    <x:tableColumn id="3" name="来源平台"/>
    <x:tableColumn id="4" name="source_url"/>
    <x:tableColumn id="5" name="内容类型"/>
    <x:tableColumn id="6" name="主题簇"/>
    <x:tableColumn id="7" name="二级主题"/>
    <x:tableColumn id="8" name="摘要/摘录"/>
    <x:tableColumn id="9" name="为什么适合以墨"/>
    <x:tableColumn id="10" name="标签"/>
    <x:tableColumn id="11" name="关键词"/>
    <x:tableColumn id="12" name="潜在产出"/>
    <x:tableColumn id="13" name="Demo区域"/>
    <x:tableColumn id="14" name="优先级"/>
    <x:tableColumn id="15" name="状态"/>
    <x:tableColumn id="16" name="价值评分"/>
    <x:tableColumn id="17" name="来源置信度"/>
    <x:tableColumn id="18" name="链接校验"/>
    <x:tableColumn id="19"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75e5fa3b5e45f2" /></Relationships>
</file>

<file path=xl/worksheets/_rels/sheet2.xml.rels>&#65279;<?xml version="1.0" encoding="utf-8"?><Relationships xmlns="http://schemas.openxmlformats.org/package/2006/relationships"><Relationship Type="http://schemas.openxmlformats.org/officeDocument/2006/relationships/drawing" Target="/xl/drawings/drawing1.xml" Id="Red4e49ab4b914727" /></Relationships>
</file>

<file path=xl/worksheets/sheet1.xml><?xml version="1.0" encoding="utf-8"?>
<x:worksheet xmlns:x="http://schemas.openxmlformats.org/spreadsheetml/2006/main">
  <x:sheetFormatPr defaultRowHeight="15"/>
  <x:cols>
    <x:col min="1" max="1" width="6" hidden="0" customWidth="1"/>
    <x:col min="2" max="2" width="34" hidden="0" customWidth="1"/>
    <x:col min="3" max="3" width="18" hidden="0" customWidth="1"/>
    <x:col min="4" max="4" width="38" hidden="0" customWidth="1"/>
    <x:col min="5" max="5" width="18" hidden="0" customWidth="1"/>
    <x:col min="6" max="6" width="20" hidden="0" customWidth="1"/>
    <x:col min="7" max="7" width="24" hidden="0" customWidth="1"/>
    <x:col min="8" max="8" width="42" hidden="0" customWidth="1"/>
    <x:col min="9" max="9" width="42" hidden="0" customWidth="1"/>
    <x:col min="10" max="10" width="28" hidden="0" customWidth="1"/>
    <x:col min="11" max="11" width="30" hidden="0" customWidth="1"/>
    <x:col min="12" max="12" width="28" hidden="0" customWidth="1"/>
    <x:col min="13" max="13" width="16" hidden="0" customWidth="1"/>
    <x:col min="14" max="14" width="10" hidden="0" customWidth="1"/>
    <x:col min="15" max="15" width="12" hidden="0" customWidth="1"/>
    <x:col min="16" max="16" width="10" hidden="0" customWidth="1"/>
    <x:col min="17" max="17" width="12" hidden="0" customWidth="1"/>
    <x:col min="18" max="18" width="26" hidden="0" customWidth="1"/>
    <x:col min="19" max="19" width="38" hidden="0" customWidth="1"/>
  </x:cols>
  <x:sheetData>
    <x:row r="1" ht="30" customHeight="1">
      <x:c r="A1" s="6" t="str">
        <x:v>id</x:v>
      </x:c>
      <x:c r="B1" s="6" t="str">
        <x:v>素材标题</x:v>
      </x:c>
      <x:c r="C1" s="6" t="str">
        <x:v>来源平台</x:v>
      </x:c>
      <x:c r="D1" s="6" t="str">
        <x:v>source_url</x:v>
      </x:c>
      <x:c r="E1" s="6" t="str">
        <x:v>内容类型</x:v>
      </x:c>
      <x:c r="F1" s="6" t="str">
        <x:v>主题簇</x:v>
      </x:c>
      <x:c r="G1" s="6" t="str">
        <x:v>二级主题</x:v>
      </x:c>
      <x:c r="H1" s="6" t="str">
        <x:v>摘要/摘录</x:v>
      </x:c>
      <x:c r="I1" s="6" t="str">
        <x:v>为什么适合以墨</x:v>
      </x:c>
      <x:c r="J1" s="6" t="str">
        <x:v>标签</x:v>
      </x:c>
      <x:c r="K1" s="6" t="str">
        <x:v>关键词</x:v>
      </x:c>
      <x:c r="L1" s="6" t="str">
        <x:v>潜在产出</x:v>
      </x:c>
      <x:c r="M1" s="6" t="str">
        <x:v>Demo区域</x:v>
      </x:c>
      <x:c r="N1" s="6" t="str">
        <x:v>优先级</x:v>
      </x:c>
      <x:c r="O1" s="6" t="str">
        <x:v>状态</x:v>
      </x:c>
      <x:c r="P1" s="6" t="str">
        <x:v>价值评分</x:v>
      </x:c>
      <x:c r="Q1" s="6" t="str">
        <x:v>来源置信度</x:v>
      </x:c>
      <x:c r="R1" s="6" t="str">
        <x:v>链接校验</x:v>
      </x:c>
      <x:c r="S1" s="6" t="str">
        <x:v>备注</x:v>
      </x:c>
    </x:row>
    <x:row r="2">
      <x:c r="A2" s="14" t="n">
        <x:v>1</x:v>
      </x:c>
      <x:c r="B2" s="14" t="str">
        <x:v>佳文速递 | 基于现象空间理论的街头美食“街性”空间感知及体验</x:v>
      </x:c>
      <x:c r="C2" s="14" t="str">
        <x:v>搜狐/旅游学刊转载</x:v>
      </x:c>
      <x:c r="D2" s="14" t="str">
        <x:v>https://www.sohu.com/a/952161292_121124417</x:v>
      </x:c>
      <x:c r="E2" s="14" t="str">
        <x:v>学术文章</x:v>
      </x:c>
      <x:c r="F2" s="14" t="str">
        <x:v>食物与空间体验</x:v>
      </x:c>
      <x:c r="G2" s="14" t="str">
        <x:v>街头美食/空间感知</x:v>
      </x:c>
      <x:c r="H2" s="14" t="str">
        <x:v>基于现象空间理论讨论街头美食的开放性空间、氛围情境、行为情境与旅游者体验。</x:v>
      </x:c>
      <x:c r="I2" s="14" t="str">
        <x:v>这是以墨的核心样本：把“吃”从生活兴趣转化成空间体验、城市文化和研究问题。</x:v>
      </x:c>
      <x:c r="J2" s="14" t="str">
        <x:v>街头美食,现象空间,旅游体验,街性</x:v>
      </x:c>
      <x:c r="K2" s="14" t="str">
        <x:v>street food;phenomenal space;urban experience</x:v>
      </x:c>
      <x:c r="L2" s="14" t="str">
        <x:v>论文选题/文化观察文章/HTML 看板核心卡片</x:v>
      </x:c>
      <x:c r="M2" s="14" t="str">
        <x:v>知识卡片池</x:v>
      </x:c>
      <x:c r="N2" s="16" t="n">
        <x:v>1</x:v>
      </x:c>
      <x:c r="O2" s="14" t="str">
        <x:v>已核实</x:v>
      </x:c>
      <x:c r="P2" s="16" t="n">
        <x:v>10</x:v>
      </x:c>
      <x:c r="Q2" s="14" t="str">
        <x:v>高</x:v>
      </x:c>
      <x:c r="R2" s="14" t="str">
        <x:v>搜索到可点击网页；替换原微信链接</x:v>
      </x:c>
      <x:c r="S2" s="14" t="str">
        <x:v>按用户修正，第一条标题改为准确标题。第二条原微信链接未搜到，已删除。</x:v>
      </x:c>
    </x:row>
    <x:row r="3">
      <x:c r="A3" s="14" t="n">
        <x:v>2</x:v>
      </x:c>
      <x:c r="B3" s="14" t="str">
        <x:v>冰箱可以冻住时间</x:v>
      </x:c>
      <x:c r="C3" s="14" t="str">
        <x:v>小红书短链</x:v>
      </x:c>
      <x:c r="D3" s="14" t="str">
        <x:v>http://xhslink.com/o/83a19XjZ8Ri</x:v>
      </x:c>
      <x:c r="E3" s="14" t="str">
        <x:v>生活观察</x:v>
      </x:c>
      <x:c r="F3" s="14" t="str">
        <x:v>食物与记忆</x:v>
      </x:c>
      <x:c r="G3" s="14" t="str">
        <x:v>家庭/时间/保存</x:v>
      </x:c>
      <x:c r="H3" s="14" t="str">
        <x:v>家里没人、父亲避暑、冰箱保存食物等生活片段，标题本身带有强烈时间隐喻。</x:v>
      </x:c>
      <x:c r="I3" s="14" t="str">
        <x:v>适合展示以墨如何把日常生活片段转化为“食物记忆/家庭时间”的写作素材。</x:v>
      </x:c>
      <x:c r="J3" s="14" t="str">
        <x:v>食物记忆,家庭,冰箱,时间,生活观察</x:v>
      </x:c>
      <x:c r="K3" s="14" t="str">
        <x:v>冰箱;保存;父亲;避暑;时间</x:v>
      </x:c>
      <x:c r="L3" s="14" t="str">
        <x:v>散文/生活观察文章/视频脚本</x:v>
      </x:c>
      <x:c r="M3" s="14" t="str">
        <x:v>知识卡片池</x:v>
      </x:c>
      <x:c r="N3" s="16" t="n">
        <x:v>1</x:v>
      </x:c>
      <x:c r="O3" s="14" t="str">
        <x:v>待补全文</x:v>
      </x:c>
      <x:c r="P3" s="16" t="n">
        <x:v>9</x:v>
      </x:c>
      <x:c r="Q3" s="14" t="str">
        <x:v>中</x:v>
      </x:c>
      <x:c r="R3" s="14" t="str">
        <x:v>短链可跳转；需小红书 App/网页环境打开</x:v>
      </x:c>
      <x:c r="S3" s="14" t="str">
        <x:v>原始十条之一；作为半结构化收藏样本。</x:v>
      </x:c>
    </x:row>
    <x:row r="4">
      <x:c r="A4" s="14" t="n">
        <x:v>3</x:v>
      </x:c>
      <x:c r="B4" s="14" t="str">
        <x:v>每种文化似乎都有一种特定的食物</x:v>
      </x:c>
      <x:c r="C4" s="14" t="str">
        <x:v>小红书短链</x:v>
      </x:c>
      <x:c r="D4" s="14" t="str">
        <x:v>http://xhslink.com/o/AU0SnX4toCl</x:v>
      </x:c>
      <x:c r="E4" s="14" t="str">
        <x:v>生活观察</x:v>
      </x:c>
      <x:c r="F4" s="14" t="str">
        <x:v>食物与文化身份</x:v>
      </x:c>
      <x:c r="G4" s="14" t="str">
        <x:v>跨文化饮食</x:v>
      </x:c>
      <x:c r="H4" s="14" t="str">
        <x:v>摘录提到美剧里的冰淇淋等文化食物符号。</x:v>
      </x:c>
      <x:c r="I4" s="14" t="str">
        <x:v>正中以墨的“食物如何承载文化身份”主题，可连接巴黎、德国超市、美食综艺。</x:v>
      </x:c>
      <x:c r="J4" s="14" t="str">
        <x:v>食物文化,冰淇淋,影视,跨文化</x:v>
      </x:c>
      <x:c r="K4" s="14" t="str">
        <x:v>food culture;identity;ice cream;TV</x:v>
      </x:c>
      <x:c r="L4" s="14" t="str">
        <x:v>文化观察文章/短视频选题</x:v>
      </x:c>
      <x:c r="M4" s="14" t="str">
        <x:v>知识卡片池</x:v>
      </x:c>
      <x:c r="N4" s="16" t="n">
        <x:v>1</x:v>
      </x:c>
      <x:c r="O4" s="14" t="str">
        <x:v>待补全文</x:v>
      </x:c>
      <x:c r="P4" s="16" t="n">
        <x:v>10</x:v>
      </x:c>
      <x:c r="Q4" s="14" t="str">
        <x:v>中</x:v>
      </x:c>
      <x:c r="R4" s="14" t="str">
        <x:v>短链可跳转；需小红书 App/网页环境打开</x:v>
      </x:c>
      <x:c r="S4" s="14" t="str">
        <x:v>原始十条之一。</x:v>
      </x:c>
    </x:row>
    <x:row r="5">
      <x:c r="A5" s="14" t="n">
        <x:v>4</x:v>
      </x:c>
      <x:c r="B5" s="14" t="str">
        <x:v>读博日记｜意大利人脾气是真好啊</x:v>
      </x:c>
      <x:c r="C5" s="14" t="str">
        <x:v>小红书短链</x:v>
      </x:c>
      <x:c r="D5" s="14" t="str">
        <x:v>http://xhslink.com/o/1oMmnYpljrs</x:v>
      </x:c>
      <x:c r="E5" s="14" t="str">
        <x:v>日常观察</x:v>
      </x:c>
      <x:c r="F5" s="14" t="str">
        <x:v>欧洲生活与学术日常</x:v>
      </x:c>
      <x:c r="G5" s="14" t="str">
        <x:v>意大利/读博/跨文化</x:v>
      </x:c>
      <x:c r="H5" s="14" t="str">
        <x:v>关于意大利人性格、读博日常和跨文化相处的观察。</x:v>
      </x:c>
      <x:c r="I5" s="14" t="str">
        <x:v>能连接那不勒斯四部曲、意大利城市生活、欧洲学术生活和个人留学观察。</x:v>
      </x:c>
      <x:c r="J5" s="14" t="str">
        <x:v>读博,意大利,欧洲生活,跨文化</x:v>
      </x:c>
      <x:c r="K5" s="14" t="str">
        <x:v>Italy;PhD;daily life;cross-cultural</x:v>
      </x:c>
      <x:c r="L5" s="14" t="str">
        <x:v>留学观察文章/播客选题</x:v>
      </x:c>
      <x:c r="M5" s="14" t="str">
        <x:v>知识卡片池</x:v>
      </x:c>
      <x:c r="N5" s="16" t="n">
        <x:v>1</x:v>
      </x:c>
      <x:c r="O5" s="14" t="str">
        <x:v>待补全文</x:v>
      </x:c>
      <x:c r="P5" s="16" t="n">
        <x:v>9</x:v>
      </x:c>
      <x:c r="Q5" s="14" t="str">
        <x:v>中</x:v>
      </x:c>
      <x:c r="R5" s="14" t="str">
        <x:v>短链可跳转；需小红书 App/网页环境打开</x:v>
      </x:c>
      <x:c r="S5" s="14" t="str">
        <x:v>原始十条之一。</x:v>
      </x:c>
    </x:row>
    <x:row r="6">
      <x:c r="A6" s="14" t="n">
        <x:v>5</x:v>
      </x:c>
      <x:c r="B6" s="14" t="str">
        <x:v>柏林 Tempelhof 附近超级无敌爆炸尼泊尔菜</x:v>
      </x:c>
      <x:c r="C6" s="14" t="str">
        <x:v>小红书短链</x:v>
      </x:c>
      <x:c r="D6" s="14" t="str">
        <x:v>http://xhslink.com/o/4x4pKPSNxtz</x:v>
      </x:c>
      <x:c r="E6" s="14" t="str">
        <x:v>生活观察</x:v>
      </x:c>
      <x:c r="F6" s="14" t="str">
        <x:v>柏林饮食地图</x:v>
      </x:c>
      <x:c r="G6" s="14" t="str">
        <x:v>尼泊尔菜/Tempelhof</x:v>
      </x:c>
      <x:c r="H6" s="14" t="str">
        <x:v>关于柏林 Tempelhof 附近 Tibet/Tibet Haus 类餐馆的美食推荐。</x:v>
      </x:c>
      <x:c r="I6" s="14" t="str">
        <x:v>可做以墨 Demo 的“地点+食物+情绪价值”样本，连接柏林生活与跨文化饮食。</x:v>
      </x:c>
      <x:c r="J6" s="14" t="str">
        <x:v>柏林,Tempelhof,尼泊尔菜,餐馆,美食</x:v>
      </x:c>
      <x:c r="K6" s="14" t="str">
        <x:v>Berlin;Tempelhof;Nepalese;restaurant</x:v>
      </x:c>
      <x:c r="L6" s="14" t="str">
        <x:v>柏林美食地图/生活攻略</x:v>
      </x:c>
      <x:c r="M6" s="14" t="str">
        <x:v>知识卡片池</x:v>
      </x:c>
      <x:c r="N6" s="16" t="n">
        <x:v>1</x:v>
      </x:c>
      <x:c r="O6" s="14" t="str">
        <x:v>待补全文</x:v>
      </x:c>
      <x:c r="P6" s="16" t="n">
        <x:v>8</x:v>
      </x:c>
      <x:c r="Q6" s="14" t="str">
        <x:v>中</x:v>
      </x:c>
      <x:c r="R6" s="14" t="str">
        <x:v>短链待用户手机端二次确认</x:v>
      </x:c>
      <x:c r="S6" s="14" t="str">
        <x:v>原始十条之一；后续补店名地址。</x:v>
      </x:c>
    </x:row>
    <x:row r="7">
      <x:c r="A7" s="14" t="n">
        <x:v>6</x:v>
      </x:c>
      <x:c r="B7" s="14" t="str">
        <x:v>笑到头掉！4 部封神纪录片不仅下饭还涨知识</x:v>
      </x:c>
      <x:c r="C7" s="14" t="str">
        <x:v>小红书短链</x:v>
      </x:c>
      <x:c r="D7" s="14" t="str">
        <x:v>http://xhslink.com/o/7RLjJRpJLe8</x:v>
      </x:c>
      <x:c r="E7" s="14" t="str">
        <x:v>内容娱乐</x:v>
      </x:c>
      <x:c r="F7" s="14" t="str">
        <x:v>综艺/纪录片/下饭知识</x:v>
      </x:c>
      <x:c r="G7" s="14" t="str">
        <x:v>纪录片推荐</x:v>
      </x:c>
      <x:c r="H7" s="14" t="str">
        <x:v>关于下饭纪录片推荐，兼具娱乐和知识获取。</x:v>
      </x:c>
      <x:c r="I7" s="14" t="str">
        <x:v>与用户爱看综艺、纪录片、下饭内容高度匹配，也可说明以墨能把娱乐收藏转成选题库。</x:v>
      </x:c>
      <x:c r="J7" s="14" t="str">
        <x:v>纪录片,下饭,综艺,知识娱乐</x:v>
      </x:c>
      <x:c r="K7" s="14" t="str">
        <x:v>documentary;variety;food;knowledge</x:v>
      </x:c>
      <x:c r="L7" s="14" t="str">
        <x:v>纪录片清单/视频选题</x:v>
      </x:c>
      <x:c r="M7" s="14" t="str">
        <x:v>知识卡片池</x:v>
      </x:c>
      <x:c r="N7" s="16" t="n">
        <x:v>1</x:v>
      </x:c>
      <x:c r="O7" s="14" t="str">
        <x:v>待补全文</x:v>
      </x:c>
      <x:c r="P7" s="16" t="n">
        <x:v>8</x:v>
      </x:c>
      <x:c r="Q7" s="14" t="str">
        <x:v>中</x:v>
      </x:c>
      <x:c r="R7" s="14" t="str">
        <x:v>短链待用户手机端二次确认</x:v>
      </x:c>
      <x:c r="S7" s="14" t="str">
        <x:v>原始十条之一。</x:v>
      </x:c>
    </x:row>
    <x:row r="8">
      <x:c r="A8" s="14" t="n">
        <x:v>7</x:v>
      </x:c>
      <x:c r="B8" s="14" t="str">
        <x:v>熊易寒：命运的政治学</x:v>
      </x:c>
      <x:c r="C8" s="14" t="str">
        <x:v>复旦大学教师主页</x:v>
      </x:c>
      <x:c r="D8" s="14" t="str">
        <x:v>https://faculty.fudan.edu.cn/xiongyihan/zh_CN/lwcg/173384/content/43809.htm</x:v>
      </x:c>
      <x:c r="E8" s="14" t="str">
        <x:v>政治思想/社会观察</x:v>
      </x:c>
      <x:c r="F8" s="14" t="str">
        <x:v>政治与命运</x:v>
      </x:c>
      <x:c r="G8" s="14" t="str">
        <x:v>政治社会学</x:v>
      </x:c>
      <x:c r="H8" s="14" t="str">
        <x:v>熊易寒发表于《开放时代》的论文成果，讨论命运、权力结构与社会正义问题。</x:v>
      </x:c>
      <x:c r="I8" s="14" t="str">
        <x:v>适合连接用户政治学背景与个人命运、结构性机会、社会流动的长期兴趣。</x:v>
      </x:c>
      <x:c r="J8" s="14" t="str">
        <x:v>政治学,命运,结构,社会流动</x:v>
      </x:c>
      <x:c r="K8" s="14" t="str">
        <x:v>fate;politics;structure;justice</x:v>
      </x:c>
      <x:c r="L8" s="14" t="str">
        <x:v>学术札记/政治随笔/课程报告</x:v>
      </x:c>
      <x:c r="M8" s="14" t="str">
        <x:v>知识卡片池</x:v>
      </x:c>
      <x:c r="N8" s="16" t="n">
        <x:v>1</x:v>
      </x:c>
      <x:c r="O8" s="14" t="str">
        <x:v>已核实</x:v>
      </x:c>
      <x:c r="P8" s="16" t="n">
        <x:v>10</x:v>
      </x:c>
      <x:c r="Q8" s="14" t="str">
        <x:v>高</x:v>
      </x:c>
      <x:c r="R8" s="14" t="str">
        <x:v>搜索到复旦教师主页可点击来源</x:v>
      </x:c>
      <x:c r="S8" s="14" t="str">
        <x:v>替代原微信长链接，保证稳定可点击。</x:v>
      </x:c>
    </x:row>
    <x:row r="9">
      <x:c r="A9" s="14" t="n">
        <x:v>8</x:v>
      </x:c>
      <x:c r="B9" s="14" t="str">
        <x:v>足球代表政治信仰与价值理念</x:v>
      </x:c>
      <x:c r="C9" s="14" t="str">
        <x:v>经济参考报/新华网</x:v>
      </x:c>
      <x:c r="D9" s="14" t="str">
        <x:v>https://jjckb.xinhuanet.com/dspd/2014-06/24/content_509838.htm</x:v>
      </x:c>
      <x:c r="E9" s="14" t="str">
        <x:v>政治/体育文化</x:v>
      </x:c>
      <x:c r="F9" s="14" t="str">
        <x:v>体育政治与粉丝文化</x:v>
      </x:c>
      <x:c r="G9" s="14" t="str">
        <x:v>巴西足球政治</x:v>
      </x:c>
      <x:c r="H9" s="14" t="str">
        <x:v>讨论足球在巴西如何成为政治信仰、价值理念与国家名片。</x:v>
      </x:c>
      <x:c r="I9" s="14" t="str">
        <x:v>与原第9条“足球何以在巴西成为一种政治？”主题高度一致，且链接稳定可打开。</x:v>
      </x:c>
      <x:c r="J9" s="14" t="str">
        <x:v>巴西,足球,政治,国家认同,体育文化</x:v>
      </x:c>
      <x:c r="K9" s="14" t="str">
        <x:v>Brazil;football;politics;national identity</x:v>
      </x:c>
      <x:c r="L9" s="14" t="str">
        <x:v>课堂报告/文章/视频脚本</x:v>
      </x:c>
      <x:c r="M9" s="14" t="str">
        <x:v>知识卡片池</x:v>
      </x:c>
      <x:c r="N9" s="16" t="n">
        <x:v>1</x:v>
      </x:c>
      <x:c r="O9" s="14" t="str">
        <x:v>已核实</x:v>
      </x:c>
      <x:c r="P9" s="16" t="n">
        <x:v>10</x:v>
      </x:c>
      <x:c r="Q9" s="14" t="str">
        <x:v>高</x:v>
      </x:c>
      <x:c r="R9" s="14" t="str">
        <x:v>搜索到新华网来源</x:v>
      </x:c>
      <x:c r="S9" s="14" t="str">
        <x:v>替代原微信链接，保证可点击。</x:v>
      </x:c>
    </x:row>
    <x:row r="10">
      <x:c r="A10" s="14" t="n">
        <x:v>9</x:v>
      </x:c>
      <x:c r="B10" s="14" t="str">
        <x:v>“新发展三角”框架下的拉美：发展困境与国家能力</x:v>
      </x:c>
      <x:c r="C10" s="14" t="str">
        <x:v>Scribd 文档/拉丁美洲研究</x:v>
      </x:c>
      <x:c r="D10" s="14" t="str">
        <x:v>https://www.scribd.com/document/735956416/%E6%96%B0%E5%8F%91%E5%B1%95%E4%B8%89%E8%A7%92-%E6%A1%86%E6%9E%B6%E4%B8%8B%E7%9A%84%E6%8B%89%E7%BE%8E-%E5%8F%91%E5%B1%95%E5%9B%B0%E5%A2%83%E4%B8%8E%E5%9B%BD%E5%AE%B6%E8%83%BD%E5%8A%9B-%E7%8E%8B%E9%B9%8F</x:v>
      </x:c>
      <x:c r="E10" s="14" t="str">
        <x:v>学术文章</x:v>
      </x:c>
      <x:c r="F10" s="14" t="str">
        <x:v>拉美政治经济</x:v>
      </x:c>
      <x:c r="G10" s="14" t="str">
        <x:v>国家能力/发展困境</x:v>
      </x:c>
      <x:c r="H10" s="14" t="str">
        <x:v>从国家能力、制度与发展困境解释拉美政治经济问题。</x:v>
      </x:c>
      <x:c r="I10" s="14" t="str">
        <x:v>非常适合比较政治经济兴趣，也可做研究问题生成样本。</x:v>
      </x:c>
      <x:c r="J10" s="14" t="str">
        <x:v>拉美,国家能力,发展三角,政治经济</x:v>
      </x:c>
      <x:c r="K10" s="14" t="str">
        <x:v>Latin America;state capacity;development</x:v>
      </x:c>
      <x:c r="L10" s="14" t="str">
        <x:v>论文选题/文献综述/课堂报告</x:v>
      </x:c>
      <x:c r="M10" s="14" t="str">
        <x:v>知识卡片池</x:v>
      </x:c>
      <x:c r="N10" s="16" t="n">
        <x:v>1</x:v>
      </x:c>
      <x:c r="O10" s="14" t="str">
        <x:v>已核实</x:v>
      </x:c>
      <x:c r="P10" s="16" t="n">
        <x:v>10</x:v>
      </x:c>
      <x:c r="Q10" s="14" t="str">
        <x:v>高</x:v>
      </x:c>
      <x:c r="R10" s="14" t="str">
        <x:v>搜索到可点击网页；可能有平台阅读限制</x:v>
      </x:c>
      <x:c r="S10" s="14" t="str">
        <x:v>原始十条之一的稳定可点击替代链接。</x:v>
      </x:c>
    </x:row>
    <x:row r="11">
      <x:c r="A11" s="14" t="n">
        <x:v>10</x:v>
      </x:c>
      <x:c r="B11" s="14" t="str">
        <x:v>社会分裂与制度困境：陷阱中发展的拉丁美洲</x:v>
      </x:c>
      <x:c r="C11" s="14" t="str">
        <x:v>新华网</x:v>
      </x:c>
      <x:c r="D11" s="14" t="str">
        <x:v>https://www.xinhuanet.com/politics/2015-06/26/c_127953047.htm</x:v>
      </x:c>
      <x:c r="E11" s="14" t="str">
        <x:v>政治经济分析</x:v>
      </x:c>
      <x:c r="F11" s="14" t="str">
        <x:v>拉美政治经济</x:v>
      </x:c>
      <x:c r="G11" s="14" t="str">
        <x:v>社会分裂/制度困境</x:v>
      </x:c>
      <x:c r="H11" s="14" t="str">
        <x:v>从社会结构断裂解释拉美发展陷阱和治理能力问题。</x:v>
      </x:c>
      <x:c r="I11" s="14" t="str">
        <x:v>与国家能力、发展困境主题一致，可作为第9条的背景材料。</x:v>
      </x:c>
      <x:c r="J11" s="14" t="str">
        <x:v>拉美,社会分裂,制度困境,发展陷阱</x:v>
      </x:c>
      <x:c r="K11" s="14" t="str">
        <x:v>inequality;institutions;Latin America</x:v>
      </x:c>
      <x:c r="L11" s="14" t="str">
        <x:v>论文背景/比较政治案例</x:v>
      </x:c>
      <x:c r="M11" s="14" t="str">
        <x:v>个人知识画像</x:v>
      </x:c>
      <x:c r="N11" s="16" t="n">
        <x:v>1</x:v>
      </x:c>
      <x:c r="O11" s="14" t="str">
        <x:v>已核实</x:v>
      </x:c>
      <x:c r="P11" s="16" t="n">
        <x:v>9</x:v>
      </x:c>
      <x:c r="Q11" s="14" t="str">
        <x:v>高</x:v>
      </x:c>
      <x:c r="R11" s="14" t="str">
        <x:v>搜索到新华社网页</x:v>
      </x:c>
      <x:c r="S11" s="14" t="str">
        <x:v>补充拉美主题。</x:v>
      </x:c>
    </x:row>
    <x:row r="12">
      <x:c r="A12" s="14" t="n">
        <x:v>11</x:v>
      </x:c>
      <x:c r="B12" s="14" t="str">
        <x:v>巴西：考验之后的多维政治重构</x:v>
      </x:c>
      <x:c r="C12" s="14" t="str">
        <x:v>新华网/环球</x:v>
      </x:c>
      <x:c r="D12" s="14" t="str">
        <x:v>https://www.news.cn/globe/20250703/a98f1052798540ca863a21a285a32ddb/c.html</x:v>
      </x:c>
      <x:c r="E12" s="14" t="str">
        <x:v>政治分析</x:v>
      </x:c>
      <x:c r="F12" s="14" t="str">
        <x:v>巴西民主与政治转型</x:v>
      </x:c>
      <x:c r="G12" s="14" t="str">
        <x:v>博索纳罗/民主修复</x:v>
      </x:c>
      <x:c r="H12" s="14" t="str">
        <x:v>围绕博索纳罗、政变审判、民主修复与巴西政治重构。</x:v>
      </x:c>
      <x:c r="I12" s="14" t="str">
        <x:v>补充用户关于巴西民主韧性、政治转型和行政问责的兴趣。</x:v>
      </x:c>
      <x:c r="J12" s="14" t="str">
        <x:v>巴西,民主韧性,政变,政治重构</x:v>
      </x:c>
      <x:c r="K12" s="14" t="str">
        <x:v>Bolsonaro;Brazil;democracy</x:v>
      </x:c>
      <x:c r="L12" s="14" t="str">
        <x:v>学术报告/比较政治案例</x:v>
      </x:c>
      <x:c r="M12" s="14" t="str">
        <x:v>个人知识画像</x:v>
      </x:c>
      <x:c r="N12" s="16" t="n">
        <x:v>1</x:v>
      </x:c>
      <x:c r="O12" s="14" t="str">
        <x:v>已核实</x:v>
      </x:c>
      <x:c r="P12" s="16" t="n">
        <x:v>10</x:v>
      </x:c>
      <x:c r="Q12" s="14" t="str">
        <x:v>高</x:v>
      </x:c>
      <x:c r="R12" s="14" t="str">
        <x:v>搜索到新华社网页</x:v>
      </x:c>
      <x:c r="S12" s="14" t="str">
        <x:v>与体育政治、拉美政治经济相互连接。</x:v>
      </x:c>
    </x:row>
    <x:row r="13">
      <x:c r="A13" s="14" t="n">
        <x:v>12</x:v>
      </x:c>
      <x:c r="B13" s="14" t="str">
        <x:v>足尖上的巴西</x:v>
      </x:c>
      <x:c r="C13" s="14" t="str">
        <x:v>人民日报/环球人物</x:v>
      </x:c>
      <x:c r="D13" s="14" t="str">
        <x:v>https://paper.people.com.cn/hqrw/html/2014-06/16/content_1478819.htm</x:v>
      </x:c>
      <x:c r="E13" s="14" t="str">
        <x:v>体育文化报道</x:v>
      </x:c>
      <x:c r="F13" s="14" t="str">
        <x:v>体育政治与粉丝文化</x:v>
      </x:c>
      <x:c r="G13" s="14" t="str">
        <x:v>巴西足球/国家精神</x:v>
      </x:c>
      <x:c r="H13" s="14" t="str">
        <x:v>报道巴西足球如何与国家精神、民族性格、政治象征联系在一起。</x:v>
      </x:c>
      <x:c r="I13" s="14" t="str">
        <x:v>可与巴西足球政治条目形成组合，用来生成体育政治文章。</x:v>
      </x:c>
      <x:c r="J13" s="14" t="str">
        <x:v>巴西,足球,民族性格,国家精神</x:v>
      </x:c>
      <x:c r="K13" s="14" t="str">
        <x:v>football;nation;Brazil</x:v>
      </x:c>
      <x:c r="L13" s="14" t="str">
        <x:v>体育政治文章/视频脚本</x:v>
      </x:c>
      <x:c r="M13" s="14" t="str">
        <x:v>知识卡片池</x:v>
      </x:c>
      <x:c r="N13" s="16" t="n">
        <x:v>1</x:v>
      </x:c>
      <x:c r="O13" s="14" t="str">
        <x:v>已核实</x:v>
      </x:c>
      <x:c r="P13" s="16" t="n">
        <x:v>9</x:v>
      </x:c>
      <x:c r="Q13" s="14" t="str">
        <x:v>高</x:v>
      </x:c>
      <x:c r="R13" s="14" t="str">
        <x:v>搜索到人民日报网页</x:v>
      </x:c>
      <x:c r="S13" s="14" t="str">
        <x:v>具体且贴近用户体育兴趣。</x:v>
      </x:c>
    </x:row>
    <x:row r="14">
      <x:c r="A14" s="14" t="n">
        <x:v>13</x:v>
      </x:c>
      <x:c r="B14" s="14" t="str">
        <x:v>黄色球衣被“骑劫”：巴西足球陷入颜色政治对立</x:v>
      </x:c>
      <x:c r="C14" s="14" t="str">
        <x:v>香港01</x:v>
      </x:c>
      <x:c r="D14" s="14" t="str">
        <x:v>https://www.hk01.com/%E5%9C%8B%E9%9A%9B%E5%88%86%E6%9E%90/840353/%E4%B8%96%E7%95%8C%E7%9B%83-%E9%BB%83%E8%89%B2%E7%90%83%E8%A1%A3%E8%A2%AB-%E9%A8%8E%E5%8A%AB-%E5%B7%B4%E8%A5%BF%E8%B6%B3%E7%90%83%E9%99%B7%E5%85%A5%E9%A1%8F%E8%89%B2%E6%94%BF%E6%B2%BB%E5%B0%8D%E7%AB%8B</x:v>
      </x:c>
      <x:c r="E14" s="14" t="str">
        <x:v>国际分析</x:v>
      </x:c>
      <x:c r="F14" s="14" t="str">
        <x:v>体育政治与粉丝文化</x:v>
      </x:c>
      <x:c r="G14" s="14" t="str">
        <x:v>黄色球衣/政治符号</x:v>
      </x:c>
      <x:c r="H14" s="14" t="str">
        <x:v>讨论巴西黄色球衣如何被政治阵营使用，形成颜色政治对立。</x:v>
      </x:c>
      <x:c r="I14" s="14" t="str">
        <x:v>可用于说明体育符号如何被政治化，是以墨跨领域连接的典型材料。</x:v>
      </x:c>
      <x:c r="J14" s="14" t="str">
        <x:v>巴西,球衣,颜色政治,博索纳罗</x:v>
      </x:c>
      <x:c r="K14" s="14" t="str">
        <x:v>jersey;symbol;politics;Brazil</x:v>
      </x:c>
      <x:c r="L14" s="14" t="str">
        <x:v>政治传播分析/体育文化文章</x:v>
      </x:c>
      <x:c r="M14" s="14" t="str">
        <x:v>知识卡片池</x:v>
      </x:c>
      <x:c r="N14" s="16" t="n">
        <x:v>2</x:v>
      </x:c>
      <x:c r="O14" s="14" t="str">
        <x:v>已核实</x:v>
      </x:c>
      <x:c r="P14" s="16" t="n">
        <x:v>8</x:v>
      </x:c>
      <x:c r="Q14" s="14" t="str">
        <x:v>中</x:v>
      </x:c>
      <x:c r="R14" s="14" t="str">
        <x:v>搜索到可点击网页</x:v>
      </x:c>
      <x:c r="S14" s="14" t="str">
        <x:v>补充体育政治细节。</x:v>
      </x:c>
    </x:row>
    <x:row r="15">
      <x:c r="A15" s="14" t="n">
        <x:v>14</x:v>
      </x:c>
      <x:c r="B15" s="14" t="str">
        <x:v>体育运动与国家认同问题的理论展开和中国语境</x:v>
      </x:c>
      <x:c r="C15" s="14" t="str">
        <x:v>上海体育学院学报/HTML全文</x:v>
      </x:c>
      <x:c r="D15" s="14" t="str">
        <x:v>https://html.rhhz.net/SHTYXYXB/html/01e49ce6-a1e6-4c77-befb-3b34e9706e24.htm</x:v>
      </x:c>
      <x:c r="E15" s="14" t="str">
        <x:v>学术论文</x:v>
      </x:c>
      <x:c r="F15" s="14" t="str">
        <x:v>体育政治与国家认同</x:v>
      </x:c>
      <x:c r="G15" s="14" t="str">
        <x:v>体育运动/国家认同/体育民族主义</x:v>
      </x:c>
      <x:c r="H15" s="14" t="str">
        <x:v>梳理体育运动与国家认同的理论脉络，并结合中国语境讨论体育在观念、制度和行动层面如何参与认同建构。</x:v>
      </x:c>
      <x:c r="I15" s="14" t="str">
        <x:v>用更学术、稳定的体育政治主题替代高强度粉丝内容，保留用户对体育与政治关系的兴趣，同时避免高强度粉丝叙事。</x:v>
      </x:c>
      <x:c r="J15" s="14" t="str">
        <x:v>体育,国家认同,体育民族主义,中国语境</x:v>
      </x:c>
      <x:c r="K15" s="14" t="str">
        <x:v>sports;national identity;sports nationalism;China</x:v>
      </x:c>
      <x:c r="L15" s="14" t="str">
        <x:v>体育政治理论卡片/比较政治案例/文章框架</x:v>
      </x:c>
      <x:c r="M15" s="14" t="str">
        <x:v>个人知识画像</x:v>
      </x:c>
      <x:c r="N15" s="16" t="n">
        <x:v>1</x:v>
      </x:c>
      <x:c r="O15" s="14" t="str">
        <x:v>已核实</x:v>
      </x:c>
      <x:c r="P15" s="16" t="n">
        <x:v>9</x:v>
      </x:c>
      <x:c r="Q15" s="14" t="str">
        <x:v>高</x:v>
      </x:c>
      <x:c r="R15" s="14" t="str">
        <x:v>搜索到可点击 HTML 全文</x:v>
      </x:c>
      <x:c r="S15" s="14" t="str">
        <x:v>新增 1 条，使删除高强度粉丝条目后总数保持 43 条。</x:v>
      </x:c>
    </x:row>
    <x:row r="16">
      <x:c r="A16" s="14" t="n">
        <x:v>15</x:v>
      </x:c>
      <x:c r="B16" s="14" t="str">
        <x:v>Blau &amp; Schwarz</x:v>
      </x:c>
      <x:c r="C16" s="14" t="str">
        <x:v>Dyn Sport</x:v>
      </x:c>
      <x:c r="D16" s="14" t="str">
        <x:v>https://www.dyn.sport/blau_und_schwarz</x:v>
      </x:c>
      <x:c r="E16" s="14" t="str">
        <x:v>纪录片/体育</x:v>
      </x:c>
      <x:c r="F16" s="14" t="str">
        <x:v>体育纪录片与球员叙事</x:v>
      </x:c>
      <x:c r="G16" s="14" t="str">
        <x:v>Fan Zhendong/萨尔布吕肯</x:v>
      </x:c>
      <x:c r="H16" s="14" t="str">
        <x:v>Dyn 关于 1. FC Saarbrücken Tischtennis 的纪录片页面，提到 Fan Zhendong 等球员。</x:v>
      </x:c>
      <x:c r="I16" s="14" t="str">
        <x:v>贴合用户最近看德语乒乓球纪录片和沉浸式德语学习的兴趣。</x:v>
      </x:c>
      <x:c r="J16" s="14" t="str">
        <x:v>樊振东,德语,乒乓球,纪录片</x:v>
      </x:c>
      <x:c r="K16" s="14" t="str">
        <x:v>Fan Zhendong;German;documentary</x:v>
      </x:c>
      <x:c r="L16" s="14" t="str">
        <x:v>德语学习素材/体育纪录片笔记</x:v>
      </x:c>
      <x:c r="M16" s="14" t="str">
        <x:v>知识卡片池</x:v>
      </x:c>
      <x:c r="N16" s="16" t="n">
        <x:v>1</x:v>
      </x:c>
      <x:c r="O16" s="14" t="str">
        <x:v>已核实</x:v>
      </x:c>
      <x:c r="P16" s="16" t="n">
        <x:v>10</x:v>
      </x:c>
      <x:c r="Q16" s="14" t="str">
        <x:v>高</x:v>
      </x:c>
      <x:c r="R16" s="14" t="str">
        <x:v>搜索到官方网页</x:v>
      </x:c>
      <x:c r="S16" s="14" t="str">
        <x:v>与用户德国生活和体育兴趣高度相关。</x:v>
      </x:c>
    </x:row>
    <x:row r="17">
      <x:c r="A17" s="14" t="n">
        <x:v>16</x:v>
      </x:c>
      <x:c r="B17" s="14" t="str">
        <x:v>Dyn zeigt exklusive Doku über den 1. FC Saarbrücken TT</x:v>
      </x:c>
      <x:c r="C17" s="14" t="str">
        <x:v>Dyn Sport</x:v>
      </x:c>
      <x:c r="D17" s="14" t="str">
        <x:v>https://www.dyn.sport/deinsender/zeigt-doku-ueber-saarbruecken-tischtennis/</x:v>
      </x:c>
      <x:c r="E17" s="14" t="str">
        <x:v>体育新闻</x:v>
      </x:c>
      <x:c r="F17" s="14" t="str">
        <x:v>体育纪录片与球员叙事</x:v>
      </x:c>
      <x:c r="G17" s="14" t="str">
        <x:v>萨尔布吕肯/TTBL</x:v>
      </x:c>
      <x:c r="H17" s="14" t="str">
        <x:v>介绍《Blau &amp; Schwarz》纪录片上线，围绕萨尔布吕肯乒乓球队赛季故事。</x:v>
      </x:c>
      <x:c r="I17" s="14" t="str">
        <x:v>可和上一条组成“体育纪录片如何制造团队叙事”的内容组。</x:v>
      </x:c>
      <x:c r="J17" s="14" t="str">
        <x:v>乒乓球,纪录片,德国,俱乐部</x:v>
      </x:c>
      <x:c r="K17" s="14" t="str">
        <x:v>Saarbrücken;TTBL;documentary</x:v>
      </x:c>
      <x:c r="L17" s="14" t="str">
        <x:v>纪录片评论/德语学习卡片</x:v>
      </x:c>
      <x:c r="M17" s="14" t="str">
        <x:v>知识卡片池</x:v>
      </x:c>
      <x:c r="N17" s="16" t="n">
        <x:v>2</x:v>
      </x:c>
      <x:c r="O17" s="14" t="str">
        <x:v>已核实</x:v>
      </x:c>
      <x:c r="P17" s="16" t="n">
        <x:v>8</x:v>
      </x:c>
      <x:c r="Q17" s="14" t="str">
        <x:v>高</x:v>
      </x:c>
      <x:c r="R17" s="14" t="str">
        <x:v>搜索到官方网页</x:v>
      </x:c>
      <x:c r="S17" s="14" t="str">
        <x:v>补充体育纪录片脉络。</x:v>
      </x:c>
    </x:row>
    <x:row r="18">
      <x:c r="A18" s="14" t="n">
        <x:v>17</x:v>
      </x:c>
      <x:c r="B18" s="14" t="str">
        <x:v>传统特色食物的集体记忆建构——土家腊肉的饮食人类学阐释</x:v>
      </x:c>
      <x:c r="C18" s="14" t="str">
        <x:v>FCI Publishing</x:v>
      </x:c>
      <x:c r="D18" s="14" t="str">
        <x:v>https://www.fcipub.org/articleDetail/906?periodicalId=6</x:v>
      </x:c>
      <x:c r="E18" s="14" t="str">
        <x:v>学术文章</x:v>
      </x:c>
      <x:c r="F18" s="14" t="str">
        <x:v>食物与记忆</x:v>
      </x:c>
      <x:c r="G18" s="14" t="str">
        <x:v>集体记忆/饮食人类学</x:v>
      </x:c>
      <x:c r="H18" s="14" t="str">
        <x:v>从家庭、社区和仪式维度分析土家腊肉如何传递记忆、维系认同。</x:v>
      </x:c>
      <x:c r="I18" s="14" t="str">
        <x:v>与“冰箱可以冻住时间”形成理论对应：食物如何保存时间与身份。</x:v>
      </x:c>
      <x:c r="J18" s="14" t="str">
        <x:v>食物记忆,集体记忆,饮食人类学</x:v>
      </x:c>
      <x:c r="K18" s="14" t="str">
        <x:v>collective memory;food anthropology</x:v>
      </x:c>
      <x:c r="L18" s="14" t="str">
        <x:v>文章理论框架/论文选题</x:v>
      </x:c>
      <x:c r="M18" s="14" t="str">
        <x:v>个人知识画像</x:v>
      </x:c>
      <x:c r="N18" s="16" t="n">
        <x:v>1</x:v>
      </x:c>
      <x:c r="O18" s="14" t="str">
        <x:v>已核实</x:v>
      </x:c>
      <x:c r="P18" s="16" t="n">
        <x:v>9</x:v>
      </x:c>
      <x:c r="Q18" s="14" t="str">
        <x:v>高</x:v>
      </x:c>
      <x:c r="R18" s="14" t="str">
        <x:v>搜索到可点击网页</x:v>
      </x:c>
      <x:c r="S18" s="14" t="str">
        <x:v>补充食物记忆主题。</x:v>
      </x:c>
    </x:row>
    <x:row r="19">
      <x:c r="A19" s="14" t="n">
        <x:v>18</x:v>
      </x:c>
      <x:c r="B19" s="14" t="str">
        <x:v>关于“吃”的文化人类学思考</x:v>
      </x:c>
      <x:c r="C19" s="14" t="str">
        <x:v>中国民俗学网</x:v>
      </x:c>
      <x:c r="D19" s="14" t="str">
        <x:v>https://www.chinesefolklore.org.cn/web/index.php?NewsID=3153</x:v>
      </x:c>
      <x:c r="E19" s="14" t="str">
        <x:v>学术/评论</x:v>
      </x:c>
      <x:c r="F19" s="14" t="str">
        <x:v>食物与文化身份</x:v>
      </x:c>
      <x:c r="G19" s="14" t="str">
        <x:v>饮食人类学/地方食系</x:v>
      </x:c>
      <x:c r="H19" s="14" t="str">
        <x:v>从文化人类学角度讨论食物体系、地方食系与东西方饮食文化交流。</x:v>
      </x:c>
      <x:c r="I19" s="14" t="str">
        <x:v>适合给以墨中的美食收藏建立理论标签。</x:v>
      </x:c>
      <x:c r="J19" s="14" t="str">
        <x:v>吃,文化人类学,饮食文化,地方性</x:v>
      </x:c>
      <x:c r="K19" s="14" t="str">
        <x:v>food anthropology;local cuisine</x:v>
      </x:c>
      <x:c r="L19" s="14" t="str">
        <x:v>理论卡片/文章框架</x:v>
      </x:c>
      <x:c r="M19" s="14" t="str">
        <x:v>知识卡片池</x:v>
      </x:c>
      <x:c r="N19" s="16" t="n">
        <x:v>1</x:v>
      </x:c>
      <x:c r="O19" s="14" t="str">
        <x:v>已核实</x:v>
      </x:c>
      <x:c r="P19" s="16" t="n">
        <x:v>9</x:v>
      </x:c>
      <x:c r="Q19" s="14" t="str">
        <x:v>高</x:v>
      </x:c>
      <x:c r="R19" s="14" t="str">
        <x:v>搜索到中国民俗学网网页</x:v>
      </x:c>
      <x:c r="S19" s="14" t="str">
        <x:v>补充美食理论。</x:v>
      </x:c>
    </x:row>
    <x:row r="20">
      <x:c r="A20" s="14" t="n">
        <x:v>19</x:v>
      </x:c>
      <x:c r="B20" s="14" t="str">
        <x:v>饮食与文化：人类学观点的回顾与展望</x:v>
      </x:c>
      <x:c r="C20" s="14" t="str">
        <x:v>Airiti Library</x:v>
      </x:c>
      <x:c r="D20" s="14" t="str">
        <x:v>https://www.airitilibrary.com/Article/Detail/P20160628001-199603-201609020011-201609020011-65-82</x:v>
      </x:c>
      <x:c r="E20" s="14" t="str">
        <x:v>学术论文</x:v>
      </x:c>
      <x:c r="F20" s="14" t="str">
        <x:v>食物与文化身份</x:v>
      </x:c>
      <x:c r="G20" s="14" t="str">
        <x:v>饮食研究综述</x:v>
      </x:c>
      <x:c r="H20" s="14" t="str">
        <x:v>回顾人类学对饮食研究的基本途径与观点。</x:v>
      </x:c>
      <x:c r="I20" s="14" t="str">
        <x:v>为“食物=身份/文化边界”的兴趣提供学术背景。</x:v>
      </x:c>
      <x:c r="J20" s="14" t="str">
        <x:v>饮食文化,人类学,文化边界</x:v>
      </x:c>
      <x:c r="K20" s="14" t="str">
        <x:v>food;culture;anthropology</x:v>
      </x:c>
      <x:c r="L20" s="14" t="str">
        <x:v>文献综述/研究问题</x:v>
      </x:c>
      <x:c r="M20" s="14" t="str">
        <x:v>个人知识画像</x:v>
      </x:c>
      <x:c r="N20" s="16" t="n">
        <x:v>2</x:v>
      </x:c>
      <x:c r="O20" s="14" t="str">
        <x:v>已核实</x:v>
      </x:c>
      <x:c r="P20" s="16" t="n">
        <x:v>8</x:v>
      </x:c>
      <x:c r="Q20" s="14" t="str">
        <x:v>高</x:v>
      </x:c>
      <x:c r="R20" s="14" t="str">
        <x:v>搜索到可点击论文页面</x:v>
      </x:c>
      <x:c r="S20" s="14" t="str">
        <x:v>补充食物文化背景。</x:v>
      </x:c>
    </x:row>
    <x:row r="21">
      <x:c r="A21" s="14" t="n">
        <x:v>20</x:v>
      </x:c>
      <x:c r="B21" s="14" t="str">
        <x:v>You are What you Eat and Drink: Identifying Cultural Boundaries by Analyzing Food &amp; Drink Habits in Foursquare</x:v>
      </x:c>
      <x:c r="C21" s="14" t="str">
        <x:v>arXiv</x:v>
      </x:c>
      <x:c r="D21" s="14" t="str">
        <x:v>https://arxiv.org/abs/1404.1009</x:v>
      </x:c>
      <x:c r="E21" s="14" t="str">
        <x:v>数据研究/论文</x:v>
      </x:c>
      <x:c r="F21" s="14" t="str">
        <x:v>食物与文化身份</x:v>
      </x:c>
      <x:c r="G21" s="14" t="str">
        <x:v>食物偏好/文化边界/数据分析</x:v>
      </x:c>
      <x:c r="H21" s="14" t="str">
        <x:v>用 Foursquare 打卡数据分析饮食习惯与文化边界。</x:v>
      </x:c>
      <x:c r="I21" s="14" t="str">
        <x:v>这条非常适合以墨 Demo：把收藏与偏好数据分析连接起来。</x:v>
      </x:c>
      <x:c r="J21" s="14" t="str">
        <x:v>食物偏好,文化边界,数据分析</x:v>
      </x:c>
      <x:c r="K21" s="14" t="str">
        <x:v>food identity;Foursquare;cultural boundaries</x:v>
      </x:c>
      <x:c r="L21" s="14" t="str">
        <x:v>数据分析案例/产品功能论证</x:v>
      </x:c>
      <x:c r="M21" s="14" t="str">
        <x:v>个人知识画像</x:v>
      </x:c>
      <x:c r="N21" s="16" t="n">
        <x:v>1</x:v>
      </x:c>
      <x:c r="O21" s="14" t="str">
        <x:v>已核实</x:v>
      </x:c>
      <x:c r="P21" s="16" t="n">
        <x:v>9</x:v>
      </x:c>
      <x:c r="Q21" s="14" t="str">
        <x:v>高</x:v>
      </x:c>
      <x:c r="R21" s="14" t="str">
        <x:v>搜索到 arXiv 页面</x:v>
      </x:c>
      <x:c r="S21" s="14" t="str">
        <x:v>连接食物兴趣和数据画像。</x:v>
      </x:c>
    </x:row>
    <x:row r="22">
      <x:c r="A22" s="14" t="n">
        <x:v>21</x:v>
      </x:c>
      <x:c r="B22" s="14" t="str">
        <x:v>You are what you eat: A social media study of food identity</x:v>
      </x:c>
      <x:c r="C22" s="14" t="str">
        <x:v>arXiv</x:v>
      </x:c>
      <x:c r="D22" s="14" t="str">
        <x:v>https://arxiv.org/abs/1808.08428</x:v>
      </x:c>
      <x:c r="E22" s="14" t="str">
        <x:v>数据研究/论文</x:v>
      </x:c>
      <x:c r="F22" s="14" t="str">
        <x:v>食物与文化身份</x:v>
      </x:c>
      <x:c r="G22" s="14" t="str">
        <x:v>社交媒体/食物身份</x:v>
      </x:c>
      <x:c r="H22" s="14" t="str">
        <x:v>研究食物偏好如何反映个人价值、消费意识和信息消费结构。</x:v>
      </x:c>
      <x:c r="I22" s="14" t="str">
        <x:v>非常适合以墨的“个人偏好画像”逻辑：收藏内容可反推兴趣和价值观。</x:v>
      </x:c>
      <x:c r="J22" s="14" t="str">
        <x:v>食物身份,社交媒体,偏好画像</x:v>
      </x:c>
      <x:c r="K22" s="14" t="str">
        <x:v>food identity;social media;preference</x:v>
      </x:c>
      <x:c r="L22" s="14" t="str">
        <x:v>个人画像理论/产品说明</x:v>
      </x:c>
      <x:c r="M22" s="14" t="str">
        <x:v>个人知识画像</x:v>
      </x:c>
      <x:c r="N22" s="16" t="n">
        <x:v>1</x:v>
      </x:c>
      <x:c r="O22" s="14" t="str">
        <x:v>已核实</x:v>
      </x:c>
      <x:c r="P22" s="16" t="n">
        <x:v>10</x:v>
      </x:c>
      <x:c r="Q22" s="14" t="str">
        <x:v>高</x:v>
      </x:c>
      <x:c r="R22" s="14" t="str">
        <x:v>搜索到 arXiv 页面</x:v>
      </x:c>
      <x:c r="S22" s="14" t="str">
        <x:v>高度契合以墨产品核心。</x:v>
      </x:c>
    </x:row>
    <x:row r="23">
      <x:c r="A23" s="14" t="n">
        <x:v>22</x:v>
      </x:c>
      <x:c r="B23" s="14" t="str">
        <x:v>我最爱的吃饭搭子——电子榨菜们</x:v>
      </x:c>
      <x:c r="C23" s="14" t="str">
        <x:v>果壳</x:v>
      </x:c>
      <x:c r="D23" s="14" t="str">
        <x:v>https://m.guokr.com/article/464945</x:v>
      </x:c>
      <x:c r="E23" s="14" t="str">
        <x:v>内容娱乐</x:v>
      </x:c>
      <x:c r="F23" s="14" t="str">
        <x:v>综艺/纪录片/下饭知识</x:v>
      </x:c>
      <x:c r="G23" s="14" t="str">
        <x:v>电子榨菜/下饭内容</x:v>
      </x:c>
      <x:c r="H23" s="14" t="str">
        <x:v>讨论下饭内容、纪录片和“我的美食向导”等食物与属地文化连接。</x:v>
      </x:c>
      <x:c r="I23" s="14" t="str">
        <x:v>贴合用户爱看综艺、纪录片、吃饭搭子的娱乐习惯。</x:v>
      </x:c>
      <x:c r="J23" s="14" t="str">
        <x:v>电子榨菜,下饭,美食纪录片,生活方式</x:v>
      </x:c>
      <x:c r="K23" s="14" t="str">
        <x:v>eating companion;documentary;food</x:v>
      </x:c>
      <x:c r="L23" s="14" t="str">
        <x:v>综艺清单/生活方式文章</x:v>
      </x:c>
      <x:c r="M23" s="14" t="str">
        <x:v>知识卡片池</x:v>
      </x:c>
      <x:c r="N23" s="16" t="n">
        <x:v>1</x:v>
      </x:c>
      <x:c r="O23" s="14" t="str">
        <x:v>已核实</x:v>
      </x:c>
      <x:c r="P23" s="16" t="n">
        <x:v>9</x:v>
      </x:c>
      <x:c r="Q23" s="14" t="str">
        <x:v>高</x:v>
      </x:c>
      <x:c r="R23" s="14" t="str">
        <x:v>搜索到果壳网页</x:v>
      </x:c>
      <x:c r="S23" s="14" t="str">
        <x:v>补充原第7条纪录片主题。</x:v>
      </x:c>
    </x:row>
    <x:row r="24">
      <x:c r="A24" s="14" t="n">
        <x:v>23</x:v>
      </x:c>
      <x:c r="B24" s="14" t="str">
        <x:v>人情味烟火气成就《人生一串》：这部美食纪录片火了</x:v>
      </x:c>
      <x:c r="C24" s="14" t="str">
        <x:v>人民网</x:v>
      </x:c>
      <x:c r="D24" s="14" t="str">
        <x:v>https://culture.people.com.cn/BIG5/n1/2018/0807/c1013-30213621.html</x:v>
      </x:c>
      <x:c r="E24" s="14" t="str">
        <x:v>媒体报道</x:v>
      </x:c>
      <x:c r="F24" s="14" t="str">
        <x:v>综艺/纪录片/下饭知识</x:v>
      </x:c>
      <x:c r="G24" s="14" t="str">
        <x:v>美食纪录片/烟火气</x:v>
      </x:c>
      <x:c r="H24" s="14" t="str">
        <x:v>报道《人生一串》的下饭定位、烟火气和人情味。</x:v>
      </x:c>
      <x:c r="I24" s="14" t="str">
        <x:v>可以和用户“下饭纪录片”收藏形成具体内容组。</x:v>
      </x:c>
      <x:c r="J24" s="14" t="str">
        <x:v>人生一串,烟火气,美食纪录片,下饭</x:v>
      </x:c>
      <x:c r="K24" s="14" t="str">
        <x:v>street food;documentary;everyday life</x:v>
      </x:c>
      <x:c r="L24" s="14" t="str">
        <x:v>纪录片评论/视频选题</x:v>
      </x:c>
      <x:c r="M24" s="14" t="str">
        <x:v>知识卡片池</x:v>
      </x:c>
      <x:c r="N24" s="16" t="n">
        <x:v>1</x:v>
      </x:c>
      <x:c r="O24" s="14" t="str">
        <x:v>已核实</x:v>
      </x:c>
      <x:c r="P24" s="16" t="n">
        <x:v>9</x:v>
      </x:c>
      <x:c r="Q24" s="14" t="str">
        <x:v>高</x:v>
      </x:c>
      <x:c r="R24" s="14" t="str">
        <x:v>搜索到人民网网页</x:v>
      </x:c>
      <x:c r="S24" s="14" t="str">
        <x:v>具体可看、可转化。</x:v>
      </x:c>
    </x:row>
    <x:row r="25">
      <x:c r="A25" s="14" t="n">
        <x:v>24</x:v>
      </x:c>
      <x:c r="B25" s="14" t="str">
        <x:v>《风味人间》：美食纪录片生产与全球传播的中国样本</x:v>
      </x:c>
      <x:c r="C25" s="14" t="str">
        <x:v>社会科学文献出版社</x:v>
      </x:c>
      <x:c r="D25" s="14" t="str">
        <x:v>https://cpms.ssap.com.cn/skwx_cmr/initDatabaseDetail?contentId=7821655&amp;contentType=literature&amp;siteId=23</x:v>
      </x:c>
      <x:c r="E25" s="14" t="str">
        <x:v>案例库/学术报告</x:v>
      </x:c>
      <x:c r="F25" s="14" t="str">
        <x:v>综艺/纪录片/下饭知识</x:v>
      </x:c>
      <x:c r="G25" s="14" t="str">
        <x:v>美食纪录片/跨文化传播</x:v>
      </x:c>
      <x:c r="H25" s="14" t="str">
        <x:v>分析《风味人间》的国际化叙事、跨文化传播和中国纪录片工业化。</x:v>
      </x:c>
      <x:c r="I25" s="14" t="str">
        <x:v>可把“爱看吃的”提升为跨文化传播和国家形象研究主题。</x:v>
      </x:c>
      <x:c r="J25" s="14" t="str">
        <x:v>风味人间,美食纪录片,跨文化传播</x:v>
      </x:c>
      <x:c r="K25" s="14" t="str">
        <x:v>food documentary;global communication</x:v>
      </x:c>
      <x:c r="L25" s="14" t="str">
        <x:v>传播学分析/内容策划</x:v>
      </x:c>
      <x:c r="M25" s="14" t="str">
        <x:v>个人知识画像</x:v>
      </x:c>
      <x:c r="N25" s="16" t="n">
        <x:v>1</x:v>
      </x:c>
      <x:c r="O25" s="14" t="str">
        <x:v>已核实</x:v>
      </x:c>
      <x:c r="P25" s="16" t="n">
        <x:v>9</x:v>
      </x:c>
      <x:c r="Q25" s="14" t="str">
        <x:v>高</x:v>
      </x:c>
      <x:c r="R25" s="14" t="str">
        <x:v>搜索到可点击案例页面</x:v>
      </x:c>
      <x:c r="S25" s="14" t="str">
        <x:v>补充纪录片主题。</x:v>
      </x:c>
    </x:row>
    <x:row r="26">
      <x:c r="A26" s="14" t="n">
        <x:v>25</x:v>
      </x:c>
      <x:c r="B26" s="14" t="str">
        <x:v>综艺节目创新呈现“中国味道”</x:v>
      </x:c>
      <x:c r="C26" s="14" t="str">
        <x:v>光明日报</x:v>
      </x:c>
      <x:c r="D26" s="14" t="str">
        <x:v>https://epaper.gmw.cn/gmrb/html/2021-04/25/nw.D110000gmrb_20210425_1-04.htm</x:v>
      </x:c>
      <x:c r="E26" s="14" t="str">
        <x:v>媒体评论</x:v>
      </x:c>
      <x:c r="F26" s="14" t="str">
        <x:v>综艺/纪录片/下饭知识</x:v>
      </x:c>
      <x:c r="G26" s="14" t="str">
        <x:v>美食综艺/中国味道</x:v>
      </x:c>
      <x:c r="H26" s="14" t="str">
        <x:v>讨论美食综艺如何通过文化解读、专业点评和娱乐属性传播中国味道。</x:v>
      </x:c>
      <x:c r="I26" s="14" t="str">
        <x:v>贴合用户综艺兴趣，可转为内容分析或策划案。</x:v>
      </x:c>
      <x:c r="J26" s="14" t="str">
        <x:v>综艺,中国味道,美食,文化传播</x:v>
      </x:c>
      <x:c r="K26" s="14" t="str">
        <x:v>variety show;food culture</x:v>
      </x:c>
      <x:c r="L26" s="14" t="str">
        <x:v>综艺评论/策划案</x:v>
      </x:c>
      <x:c r="M26" s="14" t="str">
        <x:v>知识卡片池</x:v>
      </x:c>
      <x:c r="N26" s="16" t="n">
        <x:v>2</x:v>
      </x:c>
      <x:c r="O26" s="14" t="str">
        <x:v>已核实</x:v>
      </x:c>
      <x:c r="P26" s="16" t="n">
        <x:v>8</x:v>
      </x:c>
      <x:c r="Q26" s="14" t="str">
        <x:v>高</x:v>
      </x:c>
      <x:c r="R26" s="14" t="str">
        <x:v>搜索到光明日报网页</x:v>
      </x:c>
      <x:c r="S26" s="14" t="str">
        <x:v>补充综艺主题。</x:v>
      </x:c>
    </x:row>
    <x:row r="27">
      <x:c r="A27" s="14" t="n">
        <x:v>26</x:v>
      </x:c>
      <x:c r="B27" s="14" t="str">
        <x:v>从战地记者到美食博主，他靠纪录片实现商业闭环</x:v>
      </x:c>
      <x:c r="C27" s="14" t="str">
        <x:v>第一财经/食贫道</x:v>
      </x:c>
      <x:c r="D27" s="14" t="str">
        <x:v>https://www.yicai.com/news/103038645.html</x:v>
      </x:c>
      <x:c r="E27" s="14" t="str">
        <x:v>媒体报道/内容创作者</x:v>
      </x:c>
      <x:c r="F27" s="14" t="str">
        <x:v>综艺/纪录片/下饭知识</x:v>
      </x:c>
      <x:c r="G27" s="14" t="str">
        <x:v>食贫道/饼叔/中国美食纪录片</x:v>
      </x:c>
      <x:c r="H27" s="14" t="str">
        <x:v>报道食贫道创作者饼叔如何从战地记者转型为以长视频和美食纪录片讲述世界的人文内容创作者。</x:v>
      </x:c>
      <x:c r="I27" s="14" t="str">
        <x:v>替换原美食博主条目，更贴合用户对中国美食、人文纪录片、下饭内容与内容生产的真实兴趣。</x:v>
      </x:c>
      <x:c r="J27" s="14" t="str">
        <x:v>食贫道,饼叔,中国美食,人文纪录片,B站</x:v>
      </x:c>
      <x:c r="K27" s="14" t="str">
        <x:v>shipindao;Bingshu;Chinese food documentary;Bilibili</x:v>
      </x:c>
      <x:c r="L27" s="14" t="str">
        <x:v>美食纪录片分析/内容创作者案例/视频选题</x:v>
      </x:c>
      <x:c r="M27" s="14" t="str">
        <x:v>知识卡片池</x:v>
      </x:c>
      <x:c r="N27" s="16" t="n">
        <x:v>1</x:v>
      </x:c>
      <x:c r="O27" s="14" t="str">
        <x:v>已核实</x:v>
      </x:c>
      <x:c r="P27" s="16" t="n">
        <x:v>10</x:v>
      </x:c>
      <x:c r="Q27" s="14" t="str">
        <x:v>高</x:v>
      </x:c>
      <x:c r="R27" s="14" t="str">
        <x:v>搜索到第一财经可点击网页</x:v>
      </x:c>
      <x:c r="S27" s="14" t="str">
        <x:v>按用户要求：替换为中国美食内容创作者“食贫道/饼叔”。</x:v>
      </x:c>
    </x:row>
    <x:row r="28">
      <x:c r="A28" s="14" t="n">
        <x:v>27</x:v>
      </x:c>
      <x:c r="B28" s="14" t="str">
        <x:v>巴黎的咖啡馆才是文化核心！12 间巴黎最佳咖啡馆</x:v>
      </x:c>
      <x:c r="C28" s="14" t="str">
        <x:v>Vogue Taiwan</x:v>
      </x:c>
      <x:c r="D28" s="14" t="str">
        <x:v>https://www.vogue.com.tw/article/best-cafes-in-paris</x:v>
      </x:c>
      <x:c r="E28" s="14" t="str">
        <x:v>旅行/城市文化</x:v>
      </x:c>
      <x:c r="F28" s="14" t="str">
        <x:v>巴黎与城市漫步</x:v>
      </x:c>
      <x:c r="G28" s="14" t="str">
        <x:v>咖啡馆/文化核心</x:v>
      </x:c>
      <x:c r="H28" s="14" t="str">
        <x:v>介绍巴黎咖啡馆作为思想、社交和城市文化空间的历史与现状。</x:v>
      </x:c>
      <x:c r="I28" s="14" t="str">
        <x:v>用户刚去巴黎，这条能连接旅行经验、咖啡馆文化和城市公共空间。</x:v>
      </x:c>
      <x:c r="J28" s="14" t="str">
        <x:v>巴黎,咖啡馆,城市文化,旅行</x:v>
      </x:c>
      <x:c r="K28" s="14" t="str">
        <x:v>Paris;cafe culture;urban life</x:v>
      </x:c>
      <x:c r="L28" s="14" t="str">
        <x:v>巴黎城市观察/旅行文章</x:v>
      </x:c>
      <x:c r="M28" s="14" t="str">
        <x:v>知识卡片池</x:v>
      </x:c>
      <x:c r="N28" s="16" t="n">
        <x:v>1</x:v>
      </x:c>
      <x:c r="O28" s="14" t="str">
        <x:v>已核实</x:v>
      </x:c>
      <x:c r="P28" s="16" t="n">
        <x:v>9</x:v>
      </x:c>
      <x:c r="Q28" s="14" t="str">
        <x:v>高</x:v>
      </x:c>
      <x:c r="R28" s="14" t="str">
        <x:v>搜索到 Vogue 网页</x:v>
      </x:c>
      <x:c r="S28" s="14" t="str">
        <x:v>补充巴黎旅行主题。</x:v>
      </x:c>
    </x:row>
    <x:row r="29">
      <x:c r="A29" s="14" t="n">
        <x:v>28</x:v>
      </x:c>
      <x:c r="B29" s="14" t="str">
        <x:v>How to be a Parisian: Café Culture</x:v>
      </x:c>
      <x:c r="C29" s="14" t="str">
        <x:v>France Today</x:v>
      </x:c>
      <x:c r="D29" s="14" t="str">
        <x:v>https://francetoday.com/food-drink/bars-cafes/how-to-be-a-parisian-cafe-culture/</x:v>
      </x:c>
      <x:c r="E29" s="14" t="str">
        <x:v>旅行/城市文化</x:v>
      </x:c>
      <x:c r="F29" s="14" t="str">
        <x:v>巴黎与城市漫步</x:v>
      </x:c>
      <x:c r="G29" s="14" t="str">
        <x:v>咖啡馆/日常实践</x:v>
      </x:c>
      <x:c r="H29" s="14" t="str">
        <x:v>介绍如何理解巴黎咖啡馆文化及其日常使用方式。</x:v>
      </x:c>
      <x:c r="I29" s="14" t="str">
        <x:v>可以和用户巴黎旅行记录结合，生成“如何在巴黎观察城市”的小文章。</x:v>
      </x:c>
      <x:c r="J29" s="14" t="str">
        <x:v>巴黎,咖啡馆,日常生活,旅行</x:v>
      </x:c>
      <x:c r="K29" s="14" t="str">
        <x:v>Parisian cafe;daily life</x:v>
      </x:c>
      <x:c r="L29" s="14" t="str">
        <x:v>旅行札记/城市观察</x:v>
      </x:c>
      <x:c r="M29" s="14" t="str">
        <x:v>知识卡片池</x:v>
      </x:c>
      <x:c r="N29" s="16" t="n">
        <x:v>2</x:v>
      </x:c>
      <x:c r="O29" s="14" t="str">
        <x:v>已核实</x:v>
      </x:c>
      <x:c r="P29" s="16" t="n">
        <x:v>8</x:v>
      </x:c>
      <x:c r="Q29" s="14" t="str">
        <x:v>高</x:v>
      </x:c>
      <x:c r="R29" s="14" t="str">
        <x:v>搜索到 France Today 网页</x:v>
      </x:c>
      <x:c r="S29" s="14" t="str">
        <x:v>补充巴黎主题。</x:v>
      </x:c>
    </x:row>
    <x:row r="30">
      <x:c r="A30" s="14" t="n">
        <x:v>29</x:v>
      </x:c>
      <x:c r="B30" s="14" t="str">
        <x:v>Is the French Café Scene Changing?</x:v>
      </x:c>
      <x:c r="C30" s="14" t="str">
        <x:v>France Today</x:v>
      </x:c>
      <x:c r="D30" s="14" t="str">
        <x:v>https://francetoday.com/culture/cafes-co-working-culture-is-the-french-cafe-scene-changing/</x:v>
      </x:c>
      <x:c r="E30" s="14" t="str">
        <x:v>旅行/城市文化</x:v>
      </x:c>
      <x:c r="F30" s="14" t="str">
        <x:v>巴黎与城市漫步</x:v>
      </x:c>
      <x:c r="G30" s="14" t="str">
        <x:v>咖啡馆/联合办公/文化变迁</x:v>
      </x:c>
      <x:c r="H30" s="14" t="str">
        <x:v>讨论法国咖啡馆从启蒙时代公共空间到当代联合办公文化的变化。</x:v>
      </x:c>
      <x:c r="I30" s="14" t="str">
        <x:v>适合把巴黎旅行从景点体验转化为“公共空间变迁”的研究灵感。</x:v>
      </x:c>
      <x:c r="J30" s="14" t="str">
        <x:v>法国咖啡馆,公共空间,联合办公,文化变迁</x:v>
      </x:c>
      <x:c r="K30" s="14" t="str">
        <x:v>French cafe;co-working;public sphere</x:v>
      </x:c>
      <x:c r="L30" s="14" t="str">
        <x:v>城市文化文章/研究问题</x:v>
      </x:c>
      <x:c r="M30" s="14" t="str">
        <x:v>个人知识画像</x:v>
      </x:c>
      <x:c r="N30" s="16" t="n">
        <x:v>1</x:v>
      </x:c>
      <x:c r="O30" s="14" t="str">
        <x:v>已核实</x:v>
      </x:c>
      <x:c r="P30" s="16" t="n">
        <x:v>9</x:v>
      </x:c>
      <x:c r="Q30" s="14" t="str">
        <x:v>高</x:v>
      </x:c>
      <x:c r="R30" s="14" t="str">
        <x:v>搜索到 France Today 网页</x:v>
      </x:c>
      <x:c r="S30" s="14" t="str">
        <x:v>与政治公共空间兴趣有交叉。</x:v>
      </x:c>
    </x:row>
    <x:row r="31">
      <x:c r="A31" s="14" t="n">
        <x:v>30</x:v>
      </x:c>
      <x:c r="B31" s="14" t="str">
        <x:v>Are Paris' Cafés disappearing?</x:v>
      </x:c>
      <x:c r="C31" s="14" t="str">
        <x:v>France Today</x:v>
      </x:c>
      <x:c r="D31" s="14" t="str">
        <x:v>https://francetoday.com/travel/are-paris-cafes-disappearing/</x:v>
      </x:c>
      <x:c r="E31" s="14" t="str">
        <x:v>旅行/城市文化</x:v>
      </x:c>
      <x:c r="F31" s="14" t="str">
        <x:v>巴黎与城市漫步</x:v>
      </x:c>
      <x:c r="G31" s="14" t="str">
        <x:v>咖啡馆衰退/城市变迁</x:v>
      </x:c>
      <x:c r="H31" s="14" t="str">
        <x:v>报道巴黎咖啡馆数量下降及其背后的行业与城市变化。</x:v>
      </x:c>
      <x:c r="I31" s="14" t="str">
        <x:v>适合从旅行体验连接到城市商业空间和生活方式变迁。</x:v>
      </x:c>
      <x:c r="J31" s="14" t="str">
        <x:v>巴黎,咖啡馆消失,城市商业,生活方式</x:v>
      </x:c>
      <x:c r="K31" s="14" t="str">
        <x:v>Paris cafes;urban change</x:v>
      </x:c>
      <x:c r="L31" s="14" t="str">
        <x:v>城市观察文章/数据看板卡片</x:v>
      </x:c>
      <x:c r="M31" s="14" t="str">
        <x:v>知识卡片池</x:v>
      </x:c>
      <x:c r="N31" s="16" t="n">
        <x:v>2</x:v>
      </x:c>
      <x:c r="O31" s="14" t="str">
        <x:v>已核实</x:v>
      </x:c>
      <x:c r="P31" s="16" t="n">
        <x:v>8</x:v>
      </x:c>
      <x:c r="Q31" s="14" t="str">
        <x:v>高</x:v>
      </x:c>
      <x:c r="R31" s="14" t="str">
        <x:v>搜索到 France Today 网页</x:v>
      </x:c>
      <x:c r="S31" s="14" t="str">
        <x:v>补充巴黎现实问题。</x:v>
      </x:c>
    </x:row>
    <x:row r="32">
      <x:c r="A32" s="14" t="n">
        <x:v>31</x:v>
      </x:c>
      <x:c r="B32" s="14" t="str">
        <x:v>The Flâneur and the Aesthetic</x:v>
      </x:c>
      <x:c r="C32" s="14" t="str">
        <x:v>SAGE Journals</x:v>
      </x:c>
      <x:c r="D32" s="14" t="str">
        <x:v>https://journals.sagepub.com/doi/10.1177/02632764030205003</x:v>
      </x:c>
      <x:c r="E32" s="14" t="str">
        <x:v>学术文章</x:v>
      </x:c>
      <x:c r="F32" s="14" t="str">
        <x:v>巴黎与城市漫步</x:v>
      </x:c>
      <x:c r="G32" s="14" t="str">
        <x:v>漫游者/现代性/审美</x:v>
      </x:c>
      <x:c r="H32" s="14" t="str">
        <x:v>重新解释巴黎 flânerie 的文化与审美现代性来源。</x:v>
      </x:c>
      <x:c r="I32" s="14" t="str">
        <x:v>为用户巴黎 city walk 和城市漫步体验提供经典理论入口。</x:v>
      </x:c>
      <x:c r="J32" s="14" t="str">
        <x:v>巴黎,漫游者,现代性,城市文化</x:v>
      </x:c>
      <x:c r="K32" s="14" t="str">
        <x:v>flâneur;modernity;Paris</x:v>
      </x:c>
      <x:c r="L32" s="14" t="str">
        <x:v>理论卡片/旅行文章框架</x:v>
      </x:c>
      <x:c r="M32" s="14" t="str">
        <x:v>个人知识画像</x:v>
      </x:c>
      <x:c r="N32" s="16" t="n">
        <x:v>1</x:v>
      </x:c>
      <x:c r="O32" s="14" t="str">
        <x:v>已核实</x:v>
      </x:c>
      <x:c r="P32" s="16" t="n">
        <x:v>9</x:v>
      </x:c>
      <x:c r="Q32" s="14" t="str">
        <x:v>高</x:v>
      </x:c>
      <x:c r="R32" s="14" t="str">
        <x:v>搜索到 SAGE 页面</x:v>
      </x:c>
      <x:c r="S32" s="14" t="str">
        <x:v>理论化巴黎漫步。</x:v>
      </x:c>
    </x:row>
    <x:row r="33">
      <x:c r="A33" s="14" t="n">
        <x:v>32</x:v>
      </x:c>
      <x:c r="B33" s="14" t="str">
        <x:v>Flâneuses walking at night</x:v>
      </x:c>
      <x:c r="C33" s="14" t="str">
        <x:v>University of Vienna Blog</x:v>
      </x:c>
      <x:c r="D33" s="14" t="str">
        <x:v>https://blog.euroethnologie.univie.ac.at/flaneuses-walking-at-night/</x:v>
      </x:c>
      <x:c r="E33" s="14" t="str">
        <x:v>城市文化/性别</x:v>
      </x:c>
      <x:c r="F33" s="14" t="str">
        <x:v>巴黎与城市漫步</x:v>
      </x:c>
      <x:c r="G33" s="14" t="str">
        <x:v>女性漫游/夜间城市</x:v>
      </x:c>
      <x:c r="H33" s="14" t="str">
        <x:v>讨论女性夜间城市漫步与 dérive/flânerie 的性别差异。</x:v>
      </x:c>
      <x:c r="I33" s="14" t="str">
        <x:v>可与用户独自旅行、女性城市经验、巴黎体验结合。</x:v>
      </x:c>
      <x:c r="J33" s="14" t="str">
        <x:v>女性漫游,城市夜晚,flâneuse,安全感</x:v>
      </x:c>
      <x:c r="K33" s="14" t="str">
        <x:v>flâneuse;night walking;gender</x:v>
      </x:c>
      <x:c r="L33" s="14" t="str">
        <x:v>城市女性经验文章/旅行反思</x:v>
      </x:c>
      <x:c r="M33" s="14" t="str">
        <x:v>知识卡片池</x:v>
      </x:c>
      <x:c r="N33" s="16" t="n">
        <x:v>1</x:v>
      </x:c>
      <x:c r="O33" s="14" t="str">
        <x:v>已核实</x:v>
      </x:c>
      <x:c r="P33" s="16" t="n">
        <x:v>9</x:v>
      </x:c>
      <x:c r="Q33" s="14" t="str">
        <x:v>高</x:v>
      </x:c>
      <x:c r="R33" s="14" t="str">
        <x:v>搜索到维也纳大学博客</x:v>
      </x:c>
      <x:c r="S33" s="14" t="str">
        <x:v>贴合独自旅行与城市经验。</x:v>
      </x:c>
    </x:row>
    <x:row r="34">
      <x:c r="A34" s="14" t="n">
        <x:v>33</x:v>
      </x:c>
      <x:c r="B34" s="14" t="str">
        <x:v>A Discussion on Elena Ferrante's Neapolitan Novels</x:v>
      </x:c>
      <x:c r="C34" s="14" t="str">
        <x:v>Writingplace Journal</x:v>
      </x:c>
      <x:c r="D34" s="14" t="str">
        <x:v>https://journals.open.tudelft.nl/writingplace/article/view/6355</x:v>
      </x:c>
      <x:c r="E34" s="14" t="str">
        <x:v>学术文章</x:v>
      </x:c>
      <x:c r="F34" s="14" t="str">
        <x:v>那不勒斯四部曲</x:v>
      </x:c>
      <x:c r="G34" s="14" t="str">
        <x:v>城市空间/性别/阶级</x:v>
      </x:c>
      <x:c r="H34" s="14" t="str">
        <x:v>从性别视角讨论费兰特那不勒斯小说中的城市空间占有。</x:v>
      </x:c>
      <x:c r="I34" s="14" t="str">
        <x:v>用户最近看那不勒斯四部曲，这条可转化为文学、城市和阶级分析。</x:v>
      </x:c>
      <x:c r="J34" s="14" t="str">
        <x:v>费兰特,那不勒斯,女性友谊,城市空间</x:v>
      </x:c>
      <x:c r="K34" s="14" t="str">
        <x:v>Ferrante;Naples;gender;space</x:v>
      </x:c>
      <x:c r="L34" s="14" t="str">
        <x:v>读书笔记/文学评论/研究问题</x:v>
      </x:c>
      <x:c r="M34" s="14" t="str">
        <x:v>知识卡片池</x:v>
      </x:c>
      <x:c r="N34" s="16" t="n">
        <x:v>1</x:v>
      </x:c>
      <x:c r="O34" s="14" t="str">
        <x:v>已核实</x:v>
      </x:c>
      <x:c r="P34" s="16" t="n">
        <x:v>10</x:v>
      </x:c>
      <x:c r="Q34" s="14" t="str">
        <x:v>高</x:v>
      </x:c>
      <x:c r="R34" s="14" t="str">
        <x:v>搜索到期刊页面</x:v>
      </x:c>
      <x:c r="S34" s="14" t="str">
        <x:v>核心文学主题。</x:v>
      </x:c>
    </x:row>
    <x:row r="35">
      <x:c r="A35" s="14" t="n">
        <x:v>34</x:v>
      </x:c>
      <x:c r="B35" s="14" t="str">
        <x:v>There is No True Life, If Not in the False One: On Elena Ferrante's Neapolitan Novels</x:v>
      </x:c>
      <x:c r="C35" s="14" t="str">
        <x:v>Historical Materialism</x:v>
      </x:c>
      <x:c r="D35" s="14" t="str">
        <x:v>https://www.historicalmaterialism.org/there-is-no-true-life-if-not-in-the-false-one-on-elena-ferrantes-neapolitan-novels/</x:v>
      </x:c>
      <x:c r="E35" s="14" t="str">
        <x:v>文学评论</x:v>
      </x:c>
      <x:c r="F35" s="14" t="str">
        <x:v>那不勒斯四部曲</x:v>
      </x:c>
      <x:c r="G35" s="14" t="str">
        <x:v>阶级/政治/女性友谊</x:v>
      </x:c>
      <x:c r="H35" s="14" t="str">
        <x:v>从历史唯物主义与政治角度评论费兰特的那不勒斯小说。</x:v>
      </x:c>
      <x:c r="I35" s="14" t="str">
        <x:v>可把小说阅读与阶级、城市、女性命运政治联系起来。</x:v>
      </x:c>
      <x:c r="J35" s="14" t="str">
        <x:v>费兰特,阶级,女性友谊,历史唯物主义</x:v>
      </x:c>
      <x:c r="K35" s="14" t="str">
        <x:v>Ferrante;class;friendship</x:v>
      </x:c>
      <x:c r="L35" s="14" t="str">
        <x:v>文学政治评论/读书会大纲</x:v>
      </x:c>
      <x:c r="M35" s="14" t="str">
        <x:v>知识卡片池</x:v>
      </x:c>
      <x:c r="N35" s="16" t="n">
        <x:v>1</x:v>
      </x:c>
      <x:c r="O35" s="14" t="str">
        <x:v>已核实</x:v>
      </x:c>
      <x:c r="P35" s="16" t="n">
        <x:v>10</x:v>
      </x:c>
      <x:c r="Q35" s="14" t="str">
        <x:v>高</x:v>
      </x:c>
      <x:c r="R35" s="14" t="str">
        <x:v>搜索到 Historical Materialism 网页</x:v>
      </x:c>
      <x:c r="S35" s="14" t="str">
        <x:v>贴合用户政治学背景。</x:v>
      </x:c>
    </x:row>
    <x:row r="36">
      <x:c r="A36" s="14" t="n">
        <x:v>35</x:v>
      </x:c>
      <x:c r="B36" s="14" t="str">
        <x:v>In Search of the Naples — and Women — of Ferrante's Novels</x:v>
      </x:c>
      <x:c r="C36" s="14" t="str">
        <x:v>Los Angeles Review of Books</x:v>
      </x:c>
      <x:c r="D36" s="14" t="str">
        <x:v>https://lareviewofbooks.org/article/in-search-of-the-naples-and-women-of-ferrantes-novels</x:v>
      </x:c>
      <x:c r="E36" s="14" t="str">
        <x:v>文学评论/旅行</x:v>
      </x:c>
      <x:c r="F36" s="14" t="str">
        <x:v>那不勒斯四部曲</x:v>
      </x:c>
      <x:c r="G36" s="14" t="str">
        <x:v>真实那不勒斯/女性经验</x:v>
      </x:c>
      <x:c r="H36" s="14" t="str">
        <x:v>作者寻找费兰特小说中的那不勒斯与女性经验。</x:v>
      </x:c>
      <x:c r="I36" s="14" t="str">
        <x:v>连接文学阅读、城市旅行和女性经验，适合作为以墨的跨领域样本。</x:v>
      </x:c>
      <x:c r="J36" s="14" t="str">
        <x:v>费兰特,那不勒斯,女性,旅行</x:v>
      </x:c>
      <x:c r="K36" s="14" t="str">
        <x:v>Naples;women;Ferrante</x:v>
      </x:c>
      <x:c r="L36" s="14" t="str">
        <x:v>读书旅行文章/文学地图</x:v>
      </x:c>
      <x:c r="M36" s="14" t="str">
        <x:v>知识卡片池</x:v>
      </x:c>
      <x:c r="N36" s="16" t="n">
        <x:v>2</x:v>
      </x:c>
      <x:c r="O36" s="14" t="str">
        <x:v>已核实</x:v>
      </x:c>
      <x:c r="P36" s="16" t="n">
        <x:v>8</x:v>
      </x:c>
      <x:c r="Q36" s="14" t="str">
        <x:v>高</x:v>
      </x:c>
      <x:c r="R36" s="14" t="str">
        <x:v>搜索到 LARB 网页</x:v>
      </x:c>
      <x:c r="S36" s="14" t="str">
        <x:v>补充文学旅行感。</x:v>
      </x:c>
    </x:row>
    <x:row r="37">
      <x:c r="A37" s="14" t="n">
        <x:v>36</x:v>
      </x:c>
      <x:c r="B37" s="14" t="str">
        <x:v>What Brings Elena Ferrante's Worlds to Life?</x:v>
      </x:c>
      <x:c r="C37" s="14" t="str">
        <x:v>The New Yorker</x:v>
      </x:c>
      <x:c r="D37" s="14" t="str">
        <x:v>https://www.newyorker.com/magazine/2020/08/31/what-brings-elena-ferrantes-worlds-to-life</x:v>
      </x:c>
      <x:c r="E37" s="14" t="str">
        <x:v>文学评论</x:v>
      </x:c>
      <x:c r="F37" s="14" t="str">
        <x:v>那不勒斯四部曲</x:v>
      </x:c>
      <x:c r="G37" s="14" t="str">
        <x:v>母女/阶级/女性写作</x:v>
      </x:c>
      <x:c r="H37" s="14" t="str">
        <x:v>分析费兰特作品中的母女关系、阶级、性别束缚和那不勒斯背景。</x:v>
      </x:c>
      <x:c r="I37" s="14" t="str">
        <x:v>高质量评论，可帮助生成那不勒斯四部曲读书笔记。</x:v>
      </x:c>
      <x:c r="J37" s="14" t="str">
        <x:v>费兰特,母女,阶级,女性写作</x:v>
      </x:c>
      <x:c r="K37" s="14" t="str">
        <x:v>Ferrante;mother-daughter;class</x:v>
      </x:c>
      <x:c r="L37" s="14" t="str">
        <x:v>读书笔记/影剧评论</x:v>
      </x:c>
      <x:c r="M37" s="14" t="str">
        <x:v>知识卡片池</x:v>
      </x:c>
      <x:c r="N37" s="16" t="n">
        <x:v>1</x:v>
      </x:c>
      <x:c r="O37" s="14" t="str">
        <x:v>已核实</x:v>
      </x:c>
      <x:c r="P37" s="16" t="n">
        <x:v>10</x:v>
      </x:c>
      <x:c r="Q37" s="14" t="str">
        <x:v>高</x:v>
      </x:c>
      <x:c r="R37" s="14" t="str">
        <x:v>搜索到 New Yorker 网页</x:v>
      </x:c>
      <x:c r="S37" s="14" t="str">
        <x:v>补充高质量文学评论。</x:v>
      </x:c>
    </x:row>
    <x:row r="38">
      <x:c r="A38" s="14" t="n">
        <x:v>37</x:v>
      </x:c>
      <x:c r="B38" s="14" t="str">
        <x:v>中国观众对《我的天才女友》的接受机制研究</x:v>
      </x:c>
      <x:c r="C38" s="14" t="str">
        <x:v>APSP PDF</x:v>
      </x:c>
      <x:c r="D38" s="14" t="str">
        <x:v>https://ojs.apspublisher.com/index.php/fapad/article/download/915/791</x:v>
      </x:c>
      <x:c r="E38" s="14" t="str">
        <x:v>学术论文</x:v>
      </x:c>
      <x:c r="F38" s="14" t="str">
        <x:v>那不勒斯四部曲</x:v>
      </x:c>
      <x:c r="G38" s="14" t="str">
        <x:v>跨文化接受/剧集传播</x:v>
      </x:c>
      <x:c r="H38" s="14" t="str">
        <x:v>研究《我的天才女友》在中国观众中的接受机制与跨文化共鸣。</x:v>
      </x:c>
      <x:c r="I38" s="14" t="str">
        <x:v>连接用户追剧/文学兴趣与跨文化传播、影视接受研究。</x:v>
      </x:c>
      <x:c r="J38" s="14" t="str">
        <x:v>我的天才女友,跨文化传播,剧集接受</x:v>
      </x:c>
      <x:c r="K38" s="14" t="str">
        <x:v>My Brilliant Friend;Chinese audience;reception</x:v>
      </x:c>
      <x:c r="L38" s="14" t="str">
        <x:v>影剧分析/传播学选题</x:v>
      </x:c>
      <x:c r="M38" s="14" t="str">
        <x:v>个人知识画像</x:v>
      </x:c>
      <x:c r="N38" s="16" t="n">
        <x:v>1</x:v>
      </x:c>
      <x:c r="O38" s="14" t="str">
        <x:v>已核实</x:v>
      </x:c>
      <x:c r="P38" s="16" t="n">
        <x:v>9</x:v>
      </x:c>
      <x:c r="Q38" s="14" t="str">
        <x:v>高</x:v>
      </x:c>
      <x:c r="R38" s="14" t="str">
        <x:v>搜索到 PDF 可点击</x:v>
      </x:c>
      <x:c r="S38" s="14" t="str">
        <x:v>贴合用户看剧兴趣。</x:v>
      </x:c>
    </x:row>
    <x:row r="39">
      <x:c r="A39" s="14" t="n">
        <x:v>38</x:v>
      </x:c>
      <x:c r="B39" s="14" t="str">
        <x:v>电影的政治诗学：雅克·朗西埃电影美学评述</x:v>
      </x:c>
      <x:c r="C39" s="14" t="str">
        <x:v>北京大学人文学部 PDF</x:v>
      </x:c>
      <x:c r="D39" s="14" t="str">
        <x:v>https://fh.pku.edu.cn/docs/2018-11/20181108114851290847.pdf</x:v>
      </x:c>
      <x:c r="E39" s="14" t="str">
        <x:v>学术论文</x:v>
      </x:c>
      <x:c r="F39" s="14" t="str">
        <x:v>电影与政治</x:v>
      </x:c>
      <x:c r="G39" s="14" t="str">
        <x:v>朗西埃/电影美学/政治</x:v>
      </x:c>
      <x:c r="H39" s="14" t="str">
        <x:v>评述朗西埃电影美学，讨论影像、感性分析与政治观念的结合。</x:v>
      </x:c>
      <x:c r="I39" s="14" t="str">
        <x:v>用户本科喜欢“Politics in Film”，这条可作为电影政治理论卡片。</x:v>
      </x:c>
      <x:c r="J39" s="14" t="str">
        <x:v>电影政治,朗西埃,美学政治,影像</x:v>
      </x:c>
      <x:c r="K39" s="14" t="str">
        <x:v>Rancière;film politics;aesthetics</x:v>
      </x:c>
      <x:c r="L39" s="14" t="str">
        <x:v>课程报告/影评理论框架</x:v>
      </x:c>
      <x:c r="M39" s="14" t="str">
        <x:v>知识卡片池</x:v>
      </x:c>
      <x:c r="N39" s="16" t="n">
        <x:v>1</x:v>
      </x:c>
      <x:c r="O39" s="14" t="str">
        <x:v>已核实</x:v>
      </x:c>
      <x:c r="P39" s="16" t="n">
        <x:v>10</x:v>
      </x:c>
      <x:c r="Q39" s="14" t="str">
        <x:v>高</x:v>
      </x:c>
      <x:c r="R39" s="14" t="str">
        <x:v>搜索到北大 PDF</x:v>
      </x:c>
      <x:c r="S39" s="14" t="str">
        <x:v>补充电影方向。</x:v>
      </x:c>
    </x:row>
    <x:row r="40">
      <x:c r="A40" s="14" t="n">
        <x:v>39</x:v>
      </x:c>
      <x:c r="B40" s="14" t="str">
        <x:v>电影政治与中国电影文化困境</x:v>
      </x:c>
      <x:c r="C40" s="14" t="str">
        <x:v>中国独立影像档案馆</x:v>
      </x:c>
      <x:c r="D40" s="14" t="str">
        <x:v>https://chinaindiefilm.com/%E7%94%B5%E5%BD%B1%E6%94%BF%E6%B2%BB%E4%B8%8E%E4%B8%AD%E5%9B%BD%E7%94%B5%E5%BD%B1%E6%96%87%E5%8C%96%E5%9B%B0%E5%A2%83/?lang=zh-hans</x:v>
      </x:c>
      <x:c r="E40" s="14" t="str">
        <x:v>电影评论/文化研究</x:v>
      </x:c>
      <x:c r="F40" s="14" t="str">
        <x:v>电影与政治</x:v>
      </x:c>
      <x:c r="G40" s="14" t="str">
        <x:v>中国电影/文化政治</x:v>
      </x:c>
      <x:c r="H40" s="14" t="str">
        <x:v>讨论电影政治、形式美学与中国电影文化困境。</x:v>
      </x:c>
      <x:c r="I40" s="14" t="str">
        <x:v>可把用户电影兴趣与政治学训练连接起来，形成可写选题。</x:v>
      </x:c>
      <x:c r="J40" s="14" t="str">
        <x:v>电影政治,中国电影,文化政治</x:v>
      </x:c>
      <x:c r="K40" s="14" t="str">
        <x:v>Chinese film;politics;aesthetics</x:v>
      </x:c>
      <x:c r="L40" s="14" t="str">
        <x:v>影评/学术札记</x:v>
      </x:c>
      <x:c r="M40" s="14" t="str">
        <x:v>知识卡片池</x:v>
      </x:c>
      <x:c r="N40" s="16" t="n">
        <x:v>2</x:v>
      </x:c>
      <x:c r="O40" s="14" t="str">
        <x:v>已核实</x:v>
      </x:c>
      <x:c r="P40" s="16" t="n">
        <x:v>8</x:v>
      </x:c>
      <x:c r="Q40" s="14" t="str">
        <x:v>高</x:v>
      </x:c>
      <x:c r="R40" s="14" t="str">
        <x:v>搜索到可点击网页</x:v>
      </x:c>
      <x:c r="S40" s="14" t="str">
        <x:v>补充电影政治方向。</x:v>
      </x:c>
    </x:row>
    <x:row r="41">
      <x:c r="A41" s="14" t="n">
        <x:v>40</x:v>
      </x:c>
      <x:c r="B41" s="14" t="str">
        <x:v>Between Post-Flaneur and Smartphone Zombie</x:v>
      </x:c>
      <x:c r="C41" s="14" t="str">
        <x:v>arXiv</x:v>
      </x:c>
      <x:c r="D41" s="14" t="str">
        <x:v>https://arxiv.org/abs/2103.01217</x:v>
      </x:c>
      <x:c r="E41" s="14" t="str">
        <x:v>城市研究/论文</x:v>
      </x:c>
      <x:c r="F41" s="14" t="str">
        <x:v>巴黎与城市漫步</x:v>
      </x:c>
      <x:c r="G41" s="14" t="str">
        <x:v>手机/公共空间/后漫游者</x:v>
      </x:c>
      <x:c r="H41" s="14" t="str">
        <x:v>研究智能手机使用者如何改变公共空间中的视觉注意和行走行为。</x:v>
      </x:c>
      <x:c r="I41" s="14" t="str">
        <x:v>可以把用户巴黎旅行中的手机导航、拍照、城市漫步经验理论化。</x:v>
      </x:c>
      <x:c r="J41" s="14" t="str">
        <x:v>手机,城市漫步,公共空间,注意力</x:v>
      </x:c>
      <x:c r="K41" s="14" t="str">
        <x:v>smartphone;post-flaneur;public space</x:v>
      </x:c>
      <x:c r="L41" s="14" t="str">
        <x:v>城市观察文章/产品反思</x:v>
      </x:c>
      <x:c r="M41" s="14" t="str">
        <x:v>个人知识画像</x:v>
      </x:c>
      <x:c r="N41" s="16" t="n">
        <x:v>2</x:v>
      </x:c>
      <x:c r="O41" s="14" t="str">
        <x:v>已核实</x:v>
      </x:c>
      <x:c r="P41" s="16" t="n">
        <x:v>8</x:v>
      </x:c>
      <x:c r="Q41" s="14" t="str">
        <x:v>高</x:v>
      </x:c>
      <x:c r="R41" s="14" t="str">
        <x:v>搜索到 arXiv 页面</x:v>
      </x:c>
      <x:c r="S41" s="14" t="str">
        <x:v>与以墨/数字生活也能相连。</x:v>
      </x:c>
    </x:row>
    <x:row r="42">
      <x:c r="A42" s="14" t="n">
        <x:v>41</x:v>
      </x:c>
      <x:c r="B42" s="14" t="str">
        <x:v>The Digital Life of Parisian Parks</x:v>
      </x:c>
      <x:c r="C42" s="14" t="str">
        <x:v>arXiv</x:v>
      </x:c>
      <x:c r="D42" s="14" t="str">
        <x:v>https://arxiv.org/abs/2508.15516</x:v>
      </x:c>
      <x:c r="E42" s="14" t="str">
        <x:v>城市数据研究</x:v>
      </x:c>
      <x:c r="F42" s="14" t="str">
        <x:v>巴黎与城市漫步</x:v>
      </x:c>
      <x:c r="G42" s="14" t="str">
        <x:v>公园/移动数据/城市功能</x:v>
      </x:c>
      <x:c r="H42" s="14" t="str">
        <x:v>用移动应用流量分析巴黎公园的功能类型与城市语境。</x:v>
      </x:c>
      <x:c r="I42" s="14" t="str">
        <x:v>把巴黎旅行和数据分析相连，适合以墨 Demo 的“城市数据卡片”。</x:v>
      </x:c>
      <x:c r="J42" s="14" t="str">
        <x:v>巴黎公园,移动数据,城市功能</x:v>
      </x:c>
      <x:c r="K42" s="14" t="str">
        <x:v>Paris parks;mobile data;urban function</x:v>
      </x:c>
      <x:c r="L42" s="14" t="str">
        <x:v>数据分析案例/城市研究选题</x:v>
      </x:c>
      <x:c r="M42" s="14" t="str">
        <x:v>个人知识画像</x:v>
      </x:c>
      <x:c r="N42" s="16" t="n">
        <x:v>2</x:v>
      </x:c>
      <x:c r="O42" s="14" t="str">
        <x:v>已核实</x:v>
      </x:c>
      <x:c r="P42" s="16" t="n">
        <x:v>8</x:v>
      </x:c>
      <x:c r="Q42" s="14" t="str">
        <x:v>高</x:v>
      </x:c>
      <x:c r="R42" s="14" t="str">
        <x:v>搜索到 arXiv 页面</x:v>
      </x:c>
      <x:c r="S42" s="14" t="str">
        <x:v>补充巴黎数据研究。</x:v>
      </x:c>
    </x:row>
    <x:row r="43">
      <x:c r="A43" s="14" t="n">
        <x:v>42</x:v>
      </x:c>
      <x:c r="B43" s="14" t="str">
        <x:v>FoodieQA: A Multimodal Dataset for Fine-Grained Understanding of Chinese Food Culture</x:v>
      </x:c>
      <x:c r="C43" s="14" t="str">
        <x:v>arXiv</x:v>
      </x:c>
      <x:c r="D43" s="14" t="str">
        <x:v>https://arxiv.org/abs/2406.11030</x:v>
      </x:c>
      <x:c r="E43" s="14" t="str">
        <x:v>AI/食品文化数据集</x:v>
      </x:c>
      <x:c r="F43" s="14" t="str">
        <x:v>食物与文化身份</x:v>
      </x:c>
      <x:c r="G43" s="14" t="str">
        <x:v>中国饮食文化/多模态数据集</x:v>
      </x:c>
      <x:c r="H43" s="14" t="str">
        <x:v>FoodieQA 用图文问答任务捕捉中国饮食文化细节。</x:v>
      </x:c>
      <x:c r="I43" s="14" t="str">
        <x:v>虽然不是小浣熊资料，但能把用户“爱看吃的”与 AI 数据集/文化理解连接。</x:v>
      </x:c>
      <x:c r="J43" s="14" t="str">
        <x:v>中国饮食文化,多模态,AI数据集</x:v>
      </x:c>
      <x:c r="K43" s="14" t="str">
        <x:v>food culture;VLM;dataset</x:v>
      </x:c>
      <x:c r="L43" s="14" t="str">
        <x:v>产品功能论证/AI文化理解</x:v>
      </x:c>
      <x:c r="M43" s="14" t="str">
        <x:v>个人知识画像</x:v>
      </x:c>
      <x:c r="N43" s="16" t="n">
        <x:v>2</x:v>
      </x:c>
      <x:c r="O43" s="14" t="str">
        <x:v>已核实</x:v>
      </x:c>
      <x:c r="P43" s="16" t="n">
        <x:v>8</x:v>
      </x:c>
      <x:c r="Q43" s="14" t="str">
        <x:v>高</x:v>
      </x:c>
      <x:c r="R43" s="14" t="str">
        <x:v>搜索到 arXiv 页面</x:v>
      </x:c>
      <x:c r="S43" s="14" t="str">
        <x:v>连接食物文化与以墨产品能力。</x:v>
      </x:c>
    </x:row>
    <x:row r="44">
      <x:c r="A44" s="14" t="n">
        <x:v>43</x:v>
      </x:c>
      <x:c r="B44" s="14" t="str">
        <x:v>Kicking Politics: How Football Fan Communities Became Arenas for Political Influence</x:v>
      </x:c>
      <x:c r="C44" s="14" t="str">
        <x:v>arXiv</x:v>
      </x:c>
      <x:c r="D44" s="14" t="str">
        <x:v>https://arxiv.org/abs/2512.10737</x:v>
      </x:c>
      <x:c r="E44" s="14" t="str">
        <x:v>学术论文</x:v>
      </x:c>
      <x:c r="F44" s="14" t="str">
        <x:v>体育政治与粉丝文化</x:v>
      </x:c>
      <x:c r="G44" s="14" t="str">
        <x:v>足球粉丝/政治影响/社交网络</x:v>
      </x:c>
      <x:c r="H44" s="14" t="str">
        <x:v>研究英国足球粉丝社群如何成为政治影响和话语动员的场域。</x:v>
      </x:c>
      <x:c r="I44" s="14" t="str">
        <x:v>为用户的足球政治兴趣提供社交媒体和政治传播方法。</x:v>
      </x:c>
      <x:c r="J44" s="14" t="str">
        <x:v>足球粉丝,政治影响,社交网络,英国</x:v>
      </x:c>
      <x:c r="K44" s="14" t="str">
        <x:v>football fandom;political influence;social network</x:v>
      </x:c>
      <x:c r="L44" s="14" t="str">
        <x:v>研究选题/方法参考</x:v>
      </x:c>
      <x:c r="M44" s="14" t="str">
        <x:v>个人知识画像</x:v>
      </x:c>
      <x:c r="N44" s="16" t="n">
        <x:v>2</x:v>
      </x:c>
      <x:c r="O44" s="14" t="str">
        <x:v>已核实</x:v>
      </x:c>
      <x:c r="P44" s="16" t="n">
        <x:v>8</x:v>
      </x:c>
      <x:c r="Q44" s="14" t="str">
        <x:v>高</x:v>
      </x:c>
      <x:c r="R44" s="14" t="str">
        <x:v>搜索到 arXiv 页面</x:v>
      </x:c>
      <x:c r="S44" s="14" t="str">
        <x:v>补充体育政治方法论。</x:v>
      </x:c>
    </x:row>
  </x:sheetData>
  <x:conditionalFormatting sqref="P2:P44">
    <x:cfRule type="dataBar" priority="1">
      <x:dataBar>
        <x:cfvo type="min"/>
        <x:cfvo type="max"/>
        <x:color rgb="FF4F46E5"/>
      </x:dataBar>
      <x:extLst>
        <x:ext xmlns:x14="http://schemas.microsoft.com/office/spreadsheetml/2009/9/main" uri="{B025F937-C7B1-47D3-B67F-A62EFF666E3E}">
          <x14:id>{145BF0AF-2C74-CD26-856B-FCE2DA6553B5}</x14:id>
        </x:ext>
      </x:extLst>
    </x:cfRule>
  </x:conditionalFormatting>
  <x:conditionalFormatting sqref="N2:N44">
    <x:cfRule type="cellIs" dxfId="0" priority="2">
      <x:formula>1</x:formula>
    </x:cfRule>
  </x:conditionalFormatting>
  <x:dataValidations count="3">
    <x:dataValidation type="list" sqref="O2:O44">
      <x:formula1>"已核实,待补全文,待处理"</x:formula1>
    </x:dataValidation>
    <x:dataValidation type="list" sqref="Q2:Q44">
      <x:formula1>"高,中,低"</x:formula1>
    </x:dataValidation>
    <x:dataValidation type="list" sqref="M2:M44">
      <x:formula1>"知识卡片池,个人知识画像,生成成果区"</x:formula1>
    </x:dataValidation>
  </x:dataValidations>
  <x:pageMargins left="0.7" right="0.7" top="0.75" bottom="0.75" header="0.3" footer="0.3"/>
  <x:tableParts count="1">
    <x:tablePart xmlns:r="http://schemas.openxmlformats.org/officeDocument/2006/relationships" r:id="R5e75e5fa3b5e45f2"/>
  </x:tableParts>
  <x:extLst>
    <x:ext xmlns:x14="http://schemas.microsoft.com/office/spreadsheetml/2009/9/main" xmlns:xm="http://schemas.microsoft.com/office/excel/2006/main" uri="{78C0D931-6437-407d-A8EE-F0AAD7539E65}">
      <x14:conditionalFormattings>
        <x14:conditionalFormatting>
          <x14:cfRule type="dataBar" priority="1" id="{145BF0AF-2C74-CD26-856B-FCE2DA6553B5}">
            <x14:dataBar gradient="1">
              <x14:cfvo type="min"/>
              <x14:cfvo type="max"/>
              <x14:fillColor rgb="FF4F46E5"/>
            </x14:dataBar>
          </x14:cfRule>
          <xm:sqref>P2:P44</xm:sqref>
        </x14:conditionalFormatting>
      </x14:conditionalFormattings>
    </x:ext>
  </x:extLst>
</x:worksheet>
</file>

<file path=xl/worksheets/sheet2.xml><?xml version="1.0" encoding="utf-8"?>
<x:worksheet xmlns:x="http://schemas.openxmlformats.org/spreadsheetml/2006/main">
  <x:sheetFormatPr defaultRowHeight="15"/>
  <x:cols>
    <x:col min="1" max="1" width="26" hidden="0" customWidth="1"/>
    <x:col min="2" max="2" width="14" hidden="0" customWidth="1"/>
    <x:col min="3" max="3" width="28" hidden="0" customWidth="1"/>
    <x:col min="4" max="4" width="52" hidden="0" customWidth="1"/>
  </x:cols>
  <x:sheetData>
    <x:row r="1">
      <x:c r="A1" s="30" t="str">
        <x:v>指标</x:v>
      </x:c>
      <x:c r="B1" s="30" t="str">
        <x:v>数值</x:v>
      </x:c>
      <x:c r="C1" s="30" t="str">
        <x:v>说明</x:v>
      </x:c>
      <x:c r="D1" s="12"/>
    </x:row>
    <x:row r="2">
      <x:c r="A2" s="12" t="str">
        <x:v>总素材数</x:v>
      </x:c>
      <x:c r="B2" s="34" t="n">
        <x:f>COUNTA('原始数据库'!A2:A44)</x:f>
        <x:v>43</x:v>
      </x:c>
      <x:c r="C2" s="12" t="str">
        <x:v>当前数据库条目数；已按用户要求删去不需要的体育粉丝文化条目</x:v>
      </x:c>
      <x:c r="D2" s="12"/>
    </x:row>
    <x:row r="3">
      <x:c r="A3" s="12" t="str">
        <x:v>已核实链接数</x:v>
      </x:c>
      <x:c r="B3" s="34" t="n">
        <x:f>COUNTIF('原始数据库'!O2:O44,"已核实")</x:f>
        <x:v>38</x:v>
      </x:c>
      <x:c r="C3" s="12" t="str">
        <x:v>状态列为已核实的条目</x:v>
      </x:c>
      <x:c r="D3" s="12"/>
    </x:row>
    <x:row r="4">
      <x:c r="A4" s="12" t="str">
        <x:v>高价值条目数（&gt;=9）</x:v>
      </x:c>
      <x:c r="B4" s="34" t="n">
        <x:f>COUNTIF('原始数据库'!P2:P44,"&gt;=9")</x:f>
        <x:v>29</x:v>
      </x:c>
      <x:c r="C4" s="12" t="str">
        <x:v>适合优先放入 HTML Demo</x:v>
      </x:c>
      <x:c r="D4" s="12"/>
    </x:row>
    <x:row r="5">
      <x:c r="A5" s="12" t="str">
        <x:v>平均价值评分</x:v>
      </x:c>
      <x:c r="B5" s="34" t="n">
        <x:f>AVERAGE('原始数据库'!P2:P44)</x:f>
        <x:v>8.976744186046512</x:v>
      </x:c>
      <x:c r="C5" s="12" t="str">
        <x:v>素材整体价值均值</x:v>
      </x:c>
      <x:c r="D5" s="12"/>
    </x:row>
    <x:row r="6">
      <x:c r="A6" s="12" t="str">
        <x:v>主题簇数量</x:v>
      </x:c>
      <x:c r="B6" s="34" t="n">
        <x:f>COUNTA(B10:B24)</x:f>
        <x:v>15</x:v>
      </x:c>
      <x:c r="C6" s="12" t="str">
        <x:v>覆盖的主题簇数量</x:v>
      </x:c>
      <x:c r="D6" s="12"/>
    </x:row>
    <x:row r="7">
      <x:c r="A7" s="12" t="str">
        <x:v>本版修订说明</x:v>
      </x:c>
      <x:c r="B7" s="12" t="str">
        <x:v>v4</x:v>
      </x:c>
      <x:c r="C7" s="12" t="str">
        <x:v>删除不需要的体育粉丝文化条目；将美食博主条目替换为中国食贫道/饼叔；保持 43 条。</x:v>
      </x:c>
      <x:c r="D7" s="12"/>
    </x:row>
    <x:row r="8">
      <x:c r="A8" s="12"/>
      <x:c r="B8" s="12"/>
      <x:c r="C8" s="12"/>
      <x:c r="D8" s="12"/>
    </x:row>
    <x:row r="9">
      <x:c r="A9" s="31" t="str">
        <x:v>主题簇</x:v>
      </x:c>
      <x:c r="B9" s="31" t="str">
        <x:v>条目数</x:v>
      </x:c>
      <x:c r="C9" s="31" t="str">
        <x:v>建议用途</x:v>
      </x:c>
      <x:c r="D9" s="31" t="str">
        <x:v>说明</x:v>
      </x:c>
    </x:row>
    <x:row r="10">
      <x:c r="A10" s="12" t="str">
        <x:v>巴黎与城市漫步</x:v>
      </x:c>
      <x:c r="B10" s="12" t="n">
        <x:v>8</x:v>
      </x:c>
      <x:c r="C10" s="12" t="str">
        <x:v>知识卡片池</x:v>
      </x:c>
      <x:c r="D10" s="12" t="str">
        <x:v>咖啡馆、flânerie、女性漫游、公园数据</x:v>
      </x:c>
    </x:row>
    <x:row r="11">
      <x:c r="A11" s="12" t="str">
        <x:v>食物与文化身份</x:v>
      </x:c>
      <x:c r="B11" s="12" t="n">
        <x:v>6</x:v>
      </x:c>
      <x:c r="C11" s="12" t="str">
        <x:v>个人画像</x:v>
      </x:c>
      <x:c r="D11" s="12" t="str">
        <x:v>食物偏好、文化边界、身份识别</x:v>
      </x:c>
    </x:row>
    <x:row r="12">
      <x:c r="A12" s="12" t="str">
        <x:v>综艺/纪录片/下饭知识</x:v>
      </x:c>
      <x:c r="B12" s="12" t="n">
        <x:v>6</x:v>
      </x:c>
      <x:c r="C12" s="12" t="str">
        <x:v>知识卡片池</x:v>
      </x:c>
      <x:c r="D12" s="12" t="str">
        <x:v>纪录片、综艺、美食内容消费</x:v>
      </x:c>
    </x:row>
    <x:row r="13">
      <x:c r="A13" s="12" t="str">
        <x:v>那不勒斯四部曲</x:v>
      </x:c>
      <x:c r="B13" s="12" t="n">
        <x:v>5</x:v>
      </x:c>
      <x:c r="C13" s="12" t="str">
        <x:v>知识卡片池</x:v>
      </x:c>
      <x:c r="D13" s="12" t="str">
        <x:v>费兰特、女性友谊、阶级、城市空间</x:v>
      </x:c>
    </x:row>
    <x:row r="14">
      <x:c r="A14" s="12" t="str">
        <x:v>体育政治与粉丝文化</x:v>
      </x:c>
      <x:c r="B14" s="12" t="n">
        <x:v>4</x:v>
      </x:c>
      <x:c r="C14" s="12" t="str">
        <x:v>个人画像</x:v>
      </x:c>
      <x:c r="D14" s="12" t="str">
        <x:v>巴西足球、球衣符号、体育社群与政治传播</x:v>
      </x:c>
    </x:row>
    <x:row r="15">
      <x:c r="A15" s="12" t="str">
        <x:v>食物与记忆</x:v>
      </x:c>
      <x:c r="B15" s="12" t="n">
        <x:v>2</x:v>
      </x:c>
      <x:c r="C15" s="12" t="str">
        <x:v>知识卡片池</x:v>
      </x:c>
      <x:c r="D15" s="12" t="str">
        <x:v>家庭、冰箱、时间、集体记忆</x:v>
      </x:c>
    </x:row>
    <x:row r="16">
      <x:c r="A16" s="12" t="str">
        <x:v>拉美政治经济</x:v>
      </x:c>
      <x:c r="B16" s="12" t="n">
        <x:v>2</x:v>
      </x:c>
      <x:c r="C16" s="12" t="str">
        <x:v>知识卡片池</x:v>
      </x:c>
      <x:c r="D16" s="12" t="str">
        <x:v>国家能力、制度困境、发展陷阱</x:v>
      </x:c>
    </x:row>
    <x:row r="17">
      <x:c r="A17" s="12" t="str">
        <x:v>体育纪录片与球员叙事</x:v>
      </x:c>
      <x:c r="B17" s="12" t="n">
        <x:v>2</x:v>
      </x:c>
      <x:c r="C17" s="12" t="str">
        <x:v>知识卡片池</x:v>
      </x:c>
      <x:c r="D17" s="12" t="str">
        <x:v>樊振东、德语纪录片、俱乐部叙事</x:v>
      </x:c>
    </x:row>
    <x:row r="18">
      <x:c r="A18" s="12" t="str">
        <x:v>电影与政治</x:v>
      </x:c>
      <x:c r="B18" s="12" t="n">
        <x:v>2</x:v>
      </x:c>
      <x:c r="C18" s="12" t="str">
        <x:v>知识卡片池</x:v>
      </x:c>
      <x:c r="D18" s="12" t="str">
        <x:v>电影美学、文化政治、影像政治</x:v>
      </x:c>
    </x:row>
    <x:row r="19">
      <x:c r="A19" s="12" t="str">
        <x:v>食物与空间体验</x:v>
      </x:c>
      <x:c r="B19" s="12" t="n">
        <x:v>1</x:v>
      </x:c>
      <x:c r="C19" s="12" t="str">
        <x:v>HTML Hero/核心案例</x:v>
      </x:c>
      <x:c r="D19" s="12" t="str">
        <x:v>街头美食、城市空间、旅游体验</x:v>
      </x:c>
    </x:row>
    <x:row r="20">
      <x:c r="A20" s="12" t="str">
        <x:v>欧洲生活与学术日常</x:v>
      </x:c>
      <x:c r="B20" s="12" t="n">
        <x:v>1</x:v>
      </x:c>
      <x:c r="C20" s="12" t="str">
        <x:v>知识卡片池</x:v>
      </x:c>
      <x:c r="D20" s="12" t="str">
        <x:v>读博、跨文化生活、欧洲日常观察</x:v>
      </x:c>
    </x:row>
    <x:row r="21">
      <x:c r="A21" s="12" t="str">
        <x:v>柏林饮食地图</x:v>
      </x:c>
      <x:c r="B21" s="12" t="n">
        <x:v>1</x:v>
      </x:c>
      <x:c r="C21" s="12" t="str">
        <x:v>知识卡片池</x:v>
      </x:c>
      <x:c r="D21" s="12" t="str">
        <x:v>柏林餐馆、地点、跨文化饮食</x:v>
      </x:c>
    </x:row>
    <x:row r="22">
      <x:c r="A22" s="12" t="str">
        <x:v>政治与命运</x:v>
      </x:c>
      <x:c r="B22" s="12" t="n">
        <x:v>1</x:v>
      </x:c>
      <x:c r="C22" s="12" t="str">
        <x:v>个人知识画像</x:v>
      </x:c>
      <x:c r="D22" s="12" t="str">
        <x:v>命运、结构、政治社会学</x:v>
      </x:c>
    </x:row>
    <x:row r="23">
      <x:c r="A23" s="12" t="str">
        <x:v>巴西民主与政治转型</x:v>
      </x:c>
      <x:c r="B23" s="12" t="n">
        <x:v>1</x:v>
      </x:c>
      <x:c r="C23" s="12" t="str">
        <x:v>个人画像</x:v>
      </x:c>
      <x:c r="D23" s="12" t="str">
        <x:v>民主韧性、博索纳罗、政治重构</x:v>
      </x:c>
    </x:row>
    <x:row r="24">
      <x:c r="A24" s="12" t="str">
        <x:v>体育政治与国家认同</x:v>
      </x:c>
      <x:c r="B24" s="12" t="n">
        <x:v>1</x:v>
      </x:c>
      <x:c r="C24" s="12" t="str">
        <x:v>个人画像</x:v>
      </x:c>
      <x:c r="D24" s="12" t="str">
        <x:v>体育运动、国家认同、体育民族主义</x:v>
      </x:c>
    </x:row>
    <x:row r="25">
      <x:c r="A25" s="12"/>
      <x:c r="B25" s="12"/>
      <x:c r="C25" s="12"/>
      <x:c r="D25" s="12"/>
    </x:row>
    <x:row r="26">
      <x:c r="A26" s="12"/>
      <x:c r="B26" s="12"/>
      <x:c r="C26" s="12"/>
      <x:c r="D26" s="12"/>
    </x:row>
    <x:row r="27">
      <x:c r="A27" s="12"/>
      <x:c r="B27" s="12"/>
      <x:c r="C27" s="12"/>
      <x:c r="D27" s="12"/>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sheetData>
  <x:pageMargins left="0.7" right="0.7" top="0.75" bottom="0.75" header="0.3" footer="0.3"/>
  <x:drawing xmlns:r="http://schemas.openxmlformats.org/officeDocument/2006/relationships" r:id="Red4e49ab4b914727"/>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80" hidden="0" customWidth="1"/>
    <x:col min="4" max="4" width="36" hidden="0" customWidth="1"/>
  </x:cols>
  <x:sheetData>
    <x:row r="1">
      <x:c r="A1" s="42" t="str">
        <x:v>轮次</x:v>
      </x:c>
      <x:c r="B1" s="42" t="str">
        <x:v>用途</x:v>
      </x:c>
      <x:c r="C1" s="42" t="str">
        <x:v>可复制 Prompt</x:v>
      </x:c>
      <x:c r="D1" s="42" t="str">
        <x:v>截图建议</x:v>
      </x:c>
    </x:row>
    <x:row r="2" ht="100" customHeight="1">
      <x:c r="A2" s="12" t="str">
        <x:v>第1轮</x:v>
      </x:c>
      <x:c r="B2" s="12" t="str">
        <x:v>数据理解 + HTML 初版生成</x:v>
      </x:c>
      <x:c r="C2" s="12" t="str">
        <x:v>请根据我上传的 Excel，先分析「以墨 Ink」碎片知识数据库。请注意：这不是工具资料库，而是一个真实用户的收藏与兴趣数据库，包含街头美食、食物记忆、巴西足球政治、拉美政治经济、巴黎旅行、那不勒斯四部曲、电影政治、食贫道/饼叔等主题。
请先输出：
1. 数据字段说明；
2. 高频主题簇；
3. 最适合进入 HTML Demo 的 15 条核心卡片；
4. 这些素材如何体现“碎片信息从数字灰尘变成个人知识资产”。
随后请生成一个本地可直接打开的单文件 HTML Demo，CSS、JS 和数据全部内嵌，不依赖外部服务。页面包含 Hero、KPI、筛选工具栏、左右双栏主内容区、知识卡片池、个人知识画像、详情弹窗、生成成果区。</x:v>
      </x:c>
      <x:c r="D2" s="12" t="str">
        <x:v>截上传 Excel + 第一轮 Prompt + 第一版输出</x:v>
      </x:c>
    </x:row>
    <x:row r="3" ht="100" customHeight="1">
      <x:c r="A3" s="12" t="str">
        <x:v>第2轮</x:v>
      </x:c>
      <x:c r="B3" s="12" t="str">
        <x:v>修正布局与交互</x:v>
      </x:c>
      <x:c r="C3" s="12" t="str">
        <x:v>请继续优化 HTML。要求：
1. Hero、KPI、筛选工具栏、主内容区同宽对齐；
2. 主内容区固定左右双栏，左侧知识卡片池，右侧个人知识画像；
3. 筛选器支持关键词、主题簇、内容类型、潜在产出、价值评分；
4. 点击卡片打开详情弹窗；
5. KPI、卡片数量、画像统计随筛选联动更新；
6. 标题和标签过长不要撑破容器；
7. 保持单文件 HTML，不依赖外部 CDN。</x:v>
      </x:c>
      <x:c r="D3" s="12" t="str">
        <x:v>截调优 Prompt + 浏览器第一版问题 + 第二版结果</x:v>
      </x:c>
    </x:row>
    <x:row r="4" ht="100" customHeight="1">
      <x:c r="A4" s="12" t="str">
        <x:v>第3轮</x:v>
      </x:c>
      <x:c r="B4" s="12" t="str">
        <x:v>强化以墨产品感</x:v>
      </x:c>
      <x:c r="C4" s="12" t="str">
        <x:v>请让页面更像「以墨 Ink」而不是普通数据看板：
1. 核心文案改成“让碎片信息从数字灰尘变成个人知识资产”；
2. 增加“沉睡收藏复活机”模块；
3. 每张卡片增加“可转化成果”字段；
4. 增加“今日可行动作”模块；
5. 点击“生成文章大纲/研究选题/视频脚本”后，生成一个结果卡片；
6. 底部标注：本 Demo 由办公小浣熊基于上传数据和多轮 Prompt 生成。</x:v>
      </x:c>
      <x:c r="D4" s="12" t="str">
        <x:v>截产品感调优过程和最终交互</x:v>
      </x:c>
    </x:row>
    <x:row r="5" ht="100" customHeight="1">
      <x:c r="A5" s="12" t="str">
        <x:v>第4轮</x:v>
      </x:c>
      <x:c r="B5" s="12" t="str">
        <x:v>链接真实性说明</x:v>
      </x:c>
      <x:c r="C5" s="12" t="str">
        <x:v>请基于 Excel 中的 source_url、链接校验、来源置信度和备注字段，为参赛文档生成一段“数据来源说明”。强调：本版素材库删除了不适合用户要求的体育粉丝文化条目；美食博主样本已替换为中国食贫道/饼叔；新增素材使用可搜索到的网页、学术页面、媒体页面或官方页面；小红书短链作为用户真实收藏样本保留，并标注需要手机端补全文。</x:v>
      </x:c>
      <x:c r="D5" s="12" t="str">
        <x:v>截数据来源说明，证明不是假链接/假数据</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52" hidden="0" customWidth="1"/>
    <x:col min="3" max="3" width="58" hidden="0" customWidth="1"/>
  </x:cols>
  <x:sheetData>
    <x:row r="1">
      <x:c r="A1" s="50" t="str">
        <x:v>字段</x:v>
      </x:c>
      <x:c r="B1" s="50" t="str">
        <x:v>可选值/说明</x:v>
      </x:c>
      <x:c r="C1" s="50" t="str">
        <x:v>备注</x:v>
      </x:c>
    </x:row>
    <x:row r="2">
      <x:c r="A2" s="12" t="str">
        <x:v>状态</x:v>
      </x:c>
      <x:c r="B2" s="12" t="str">
        <x:v>已核实 / 待补全文 / 待处理</x:v>
      </x:c>
      <x:c r="C2" s="12" t="str">
        <x:v>本版新补充链接均为可搜索到的可点击网页；小红书短链需手机端补全文。</x:v>
      </x:c>
    </x:row>
    <x:row r="3">
      <x:c r="A3" s="12" t="str">
        <x:v>优先级</x:v>
      </x:c>
      <x:c r="B3" s="12" t="str">
        <x:v>1=核心展示 / 2=辅助补充 / 3=备用</x:v>
      </x:c>
      <x:c r="C3" s="12" t="str">
        <x:v>1 优先放入 Demo 卡片</x:v>
      </x:c>
    </x:row>
    <x:row r="4">
      <x:c r="A4" s="12" t="str">
        <x:v>来源置信度</x:v>
      </x:c>
      <x:c r="B4" s="12" t="str">
        <x:v>高 / 中 / 低</x:v>
      </x:c>
      <x:c r="C4" s="12" t="str">
        <x:v>官方、学术、主流媒体为高</x:v>
      </x:c>
    </x:row>
    <x:row r="5">
      <x:c r="A5" s="12" t="str">
        <x:v>链接校验</x:v>
      </x:c>
      <x:c r="B5" s="12" t="str">
        <x:v>已核实 / 短链可跳转 / 搜索替代 / 待用户手机确认</x:v>
      </x:c>
      <x:c r="C5" s="12" t="str">
        <x:v>删除不需要的体育粉丝文化条目；美食博主样本已替换为食贫道/饼叔。</x:v>
      </x:c>
    </x:row>
    <x:row r="6">
      <x:c r="A6" s="12" t="str">
        <x:v>Demo区域</x:v>
      </x:c>
      <x:c r="B6" s="12" t="str">
        <x:v>知识卡片池 / 个人知识画像 / 生成成果区</x:v>
      </x:c>
      <x:c r="C6" s="12" t="str">
        <x:v>用于小浣熊生成 HTML Demo</x:v>
      </x:c>
    </x:row>
    <x:row r="7">
      <x:c r="A7" s="12" t="str">
        <x:v>内容类型</x:v>
      </x:c>
      <x:c r="B7" s="12" t="str">
        <x:v>学术文章 / 生活观察 / 媒体评论 / 城市文化 / 体育纪录片等</x:v>
      </x:c>
      <x:c r="C7" s="12" t="str">
        <x:v>用于筛选器</x:v>
      </x:c>
    </x:row>
  </x:sheetData>
  <x:pageMargins left="0.7" right="0.7" top="0.75" bottom="0.75" header="0.3" footer="0.3"/>
</x:worksheet>
</file>